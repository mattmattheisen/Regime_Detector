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ocusfinancialmn-my.sharepoint.com/personal/mmattheisen_focusfinancial_com/Documents/Documents/Desktop/Programs/"/>
    </mc:Choice>
  </mc:AlternateContent>
  <xr:revisionPtr revIDLastSave="7" documentId="8_{8205B72B-FDE9-42C5-8710-AA4E3F0FF6F8}" xr6:coauthVersionLast="47" xr6:coauthVersionMax="47" xr10:uidLastSave="{C45D0ECA-83C6-44FE-91B6-45067B09B9C7}"/>
  <bookViews>
    <workbookView xWindow="-108" yWindow="-108" windowWidth="23256" windowHeight="12456" tabRatio="500" activeTab="2" xr2:uid="{00000000-000D-0000-FFFF-FFFF00000000}"/>
  </bookViews>
  <sheets>
    <sheet name="Daily History Log" sheetId="1" r:id="rId1"/>
    <sheet name="Regime Reference" sheetId="2" r:id="rId2"/>
    <sheet name="Current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3" l="1"/>
  <c r="C39" i="3" s="1"/>
  <c r="C35" i="3"/>
  <c r="C41" i="3" s="1"/>
  <c r="C27" i="3"/>
  <c r="D27" i="3" s="1"/>
  <c r="C26" i="3"/>
  <c r="D26" i="3" s="1"/>
  <c r="C25" i="3"/>
  <c r="D25" i="3" s="1"/>
  <c r="C17" i="3"/>
  <c r="C12" i="3"/>
  <c r="C10" i="3"/>
  <c r="C7" i="3"/>
  <c r="C5" i="3"/>
  <c r="C4" i="3"/>
  <c r="Z64" i="1"/>
  <c r="Y64" i="1"/>
  <c r="W64" i="1"/>
  <c r="V64" i="1"/>
  <c r="U64" i="1"/>
  <c r="T64" i="1"/>
  <c r="S64" i="1"/>
  <c r="R64" i="1"/>
  <c r="Q64" i="1"/>
  <c r="N64" i="1"/>
  <c r="M64" i="1"/>
  <c r="J64" i="1"/>
  <c r="I64" i="1"/>
  <c r="D64" i="1"/>
  <c r="Z63" i="1"/>
  <c r="Y63" i="1"/>
  <c r="W63" i="1"/>
  <c r="V63" i="1"/>
  <c r="U63" i="1"/>
  <c r="T63" i="1"/>
  <c r="S63" i="1"/>
  <c r="R63" i="1"/>
  <c r="Q63" i="1"/>
  <c r="N63" i="1"/>
  <c r="M63" i="1"/>
  <c r="J63" i="1"/>
  <c r="I63" i="1"/>
  <c r="D63" i="1"/>
  <c r="Z62" i="1"/>
  <c r="Y62" i="1"/>
  <c r="W62" i="1"/>
  <c r="V62" i="1"/>
  <c r="U62" i="1"/>
  <c r="T62" i="1"/>
  <c r="S62" i="1"/>
  <c r="R62" i="1"/>
  <c r="Q62" i="1"/>
  <c r="N62" i="1"/>
  <c r="M62" i="1"/>
  <c r="J62" i="1"/>
  <c r="I62" i="1"/>
  <c r="D62" i="1"/>
  <c r="Z61" i="1"/>
  <c r="Y61" i="1"/>
  <c r="W61" i="1"/>
  <c r="V61" i="1"/>
  <c r="U61" i="1"/>
  <c r="T61" i="1"/>
  <c r="S61" i="1"/>
  <c r="R61" i="1"/>
  <c r="Q61" i="1"/>
  <c r="N61" i="1"/>
  <c r="M61" i="1"/>
  <c r="J61" i="1"/>
  <c r="I61" i="1"/>
  <c r="D61" i="1"/>
  <c r="Z60" i="1"/>
  <c r="Y60" i="1"/>
  <c r="W60" i="1"/>
  <c r="V60" i="1"/>
  <c r="U60" i="1"/>
  <c r="T60" i="1"/>
  <c r="S60" i="1"/>
  <c r="R60" i="1"/>
  <c r="Q60" i="1"/>
  <c r="N60" i="1"/>
  <c r="M60" i="1"/>
  <c r="J60" i="1"/>
  <c r="I60" i="1"/>
  <c r="D60" i="1"/>
  <c r="Z59" i="1"/>
  <c r="Y59" i="1"/>
  <c r="W59" i="1"/>
  <c r="V59" i="1"/>
  <c r="U59" i="1"/>
  <c r="T59" i="1"/>
  <c r="S59" i="1"/>
  <c r="R59" i="1"/>
  <c r="Q59" i="1"/>
  <c r="N59" i="1"/>
  <c r="M59" i="1"/>
  <c r="J59" i="1"/>
  <c r="I59" i="1"/>
  <c r="D59" i="1"/>
  <c r="Z58" i="1"/>
  <c r="Y58" i="1"/>
  <c r="W58" i="1"/>
  <c r="V58" i="1"/>
  <c r="U58" i="1"/>
  <c r="T58" i="1"/>
  <c r="S58" i="1"/>
  <c r="R58" i="1"/>
  <c r="Q58" i="1"/>
  <c r="N58" i="1"/>
  <c r="M58" i="1"/>
  <c r="J58" i="1"/>
  <c r="I58" i="1"/>
  <c r="D58" i="1"/>
  <c r="Z57" i="1"/>
  <c r="Y57" i="1"/>
  <c r="W57" i="1"/>
  <c r="V57" i="1"/>
  <c r="U57" i="1"/>
  <c r="T57" i="1"/>
  <c r="S57" i="1"/>
  <c r="R57" i="1"/>
  <c r="Q57" i="1"/>
  <c r="N57" i="1"/>
  <c r="M57" i="1"/>
  <c r="J57" i="1"/>
  <c r="I57" i="1"/>
  <c r="D57" i="1"/>
  <c r="Z56" i="1"/>
  <c r="Y56" i="1"/>
  <c r="W56" i="1"/>
  <c r="V56" i="1"/>
  <c r="U56" i="1"/>
  <c r="T56" i="1"/>
  <c r="S56" i="1"/>
  <c r="R56" i="1"/>
  <c r="Q56" i="1"/>
  <c r="N56" i="1"/>
  <c r="M56" i="1"/>
  <c r="J56" i="1"/>
  <c r="I56" i="1"/>
  <c r="D56" i="1"/>
  <c r="Z55" i="1"/>
  <c r="Y55" i="1"/>
  <c r="W55" i="1"/>
  <c r="V55" i="1"/>
  <c r="U55" i="1"/>
  <c r="T55" i="1"/>
  <c r="S55" i="1"/>
  <c r="R55" i="1"/>
  <c r="Q55" i="1"/>
  <c r="N55" i="1"/>
  <c r="M55" i="1"/>
  <c r="J55" i="1"/>
  <c r="I55" i="1"/>
  <c r="D55" i="1"/>
  <c r="Z54" i="1"/>
  <c r="Y54" i="1"/>
  <c r="W54" i="1"/>
  <c r="V54" i="1"/>
  <c r="U54" i="1"/>
  <c r="T54" i="1"/>
  <c r="S54" i="1"/>
  <c r="R54" i="1"/>
  <c r="Q54" i="1"/>
  <c r="N54" i="1"/>
  <c r="M54" i="1"/>
  <c r="J54" i="1"/>
  <c r="I54" i="1"/>
  <c r="D54" i="1"/>
  <c r="Z53" i="1"/>
  <c r="Y53" i="1"/>
  <c r="W53" i="1"/>
  <c r="V53" i="1"/>
  <c r="U53" i="1"/>
  <c r="T53" i="1"/>
  <c r="S53" i="1"/>
  <c r="R53" i="1"/>
  <c r="Q53" i="1"/>
  <c r="N53" i="1"/>
  <c r="M53" i="1"/>
  <c r="J53" i="1"/>
  <c r="I53" i="1"/>
  <c r="D53" i="1"/>
  <c r="Z52" i="1"/>
  <c r="Y52" i="1"/>
  <c r="W52" i="1"/>
  <c r="V52" i="1"/>
  <c r="U52" i="1"/>
  <c r="T52" i="1"/>
  <c r="S52" i="1"/>
  <c r="R52" i="1"/>
  <c r="Q52" i="1"/>
  <c r="N52" i="1"/>
  <c r="M52" i="1"/>
  <c r="J52" i="1"/>
  <c r="I52" i="1"/>
  <c r="D52" i="1"/>
  <c r="Z51" i="1"/>
  <c r="Y51" i="1"/>
  <c r="W51" i="1"/>
  <c r="V51" i="1"/>
  <c r="U51" i="1"/>
  <c r="T51" i="1"/>
  <c r="S51" i="1"/>
  <c r="R51" i="1"/>
  <c r="Q51" i="1"/>
  <c r="N51" i="1"/>
  <c r="M51" i="1"/>
  <c r="J51" i="1"/>
  <c r="I51" i="1"/>
  <c r="D51" i="1"/>
  <c r="Z50" i="1"/>
  <c r="Y50" i="1"/>
  <c r="W50" i="1"/>
  <c r="V50" i="1"/>
  <c r="U50" i="1"/>
  <c r="T50" i="1"/>
  <c r="S50" i="1"/>
  <c r="R50" i="1"/>
  <c r="Q50" i="1"/>
  <c r="N50" i="1"/>
  <c r="M50" i="1"/>
  <c r="J50" i="1"/>
  <c r="I50" i="1"/>
  <c r="D50" i="1"/>
  <c r="Z49" i="1"/>
  <c r="Y49" i="1"/>
  <c r="W49" i="1"/>
  <c r="V49" i="1"/>
  <c r="U49" i="1"/>
  <c r="T49" i="1"/>
  <c r="S49" i="1"/>
  <c r="R49" i="1"/>
  <c r="Q49" i="1"/>
  <c r="N49" i="1"/>
  <c r="M49" i="1"/>
  <c r="J49" i="1"/>
  <c r="I49" i="1"/>
  <c r="D49" i="1"/>
  <c r="Z48" i="1"/>
  <c r="Y48" i="1"/>
  <c r="W48" i="1"/>
  <c r="V48" i="1"/>
  <c r="U48" i="1"/>
  <c r="T48" i="1"/>
  <c r="S48" i="1"/>
  <c r="R48" i="1"/>
  <c r="Q48" i="1"/>
  <c r="N48" i="1"/>
  <c r="M48" i="1"/>
  <c r="J48" i="1"/>
  <c r="I48" i="1"/>
  <c r="D48" i="1"/>
  <c r="Z47" i="1"/>
  <c r="Y47" i="1"/>
  <c r="W47" i="1"/>
  <c r="V47" i="1"/>
  <c r="U47" i="1"/>
  <c r="T47" i="1"/>
  <c r="S47" i="1"/>
  <c r="R47" i="1"/>
  <c r="Q47" i="1"/>
  <c r="N47" i="1"/>
  <c r="M47" i="1"/>
  <c r="J47" i="1"/>
  <c r="I47" i="1"/>
  <c r="D47" i="1"/>
  <c r="Z46" i="1"/>
  <c r="Y46" i="1"/>
  <c r="W46" i="1"/>
  <c r="V46" i="1"/>
  <c r="U46" i="1"/>
  <c r="T46" i="1"/>
  <c r="S46" i="1"/>
  <c r="R46" i="1"/>
  <c r="Q46" i="1"/>
  <c r="N46" i="1"/>
  <c r="M46" i="1"/>
  <c r="J46" i="1"/>
  <c r="I46" i="1"/>
  <c r="D46" i="1"/>
  <c r="Z45" i="1"/>
  <c r="Y45" i="1"/>
  <c r="W45" i="1"/>
  <c r="V45" i="1"/>
  <c r="U45" i="1"/>
  <c r="T45" i="1"/>
  <c r="S45" i="1"/>
  <c r="R45" i="1"/>
  <c r="Q45" i="1"/>
  <c r="N45" i="1"/>
  <c r="M45" i="1"/>
  <c r="J45" i="1"/>
  <c r="I45" i="1"/>
  <c r="D45" i="1"/>
  <c r="Z44" i="1"/>
  <c r="Y44" i="1"/>
  <c r="W44" i="1"/>
  <c r="V44" i="1"/>
  <c r="U44" i="1"/>
  <c r="T44" i="1"/>
  <c r="S44" i="1"/>
  <c r="R44" i="1"/>
  <c r="Q44" i="1"/>
  <c r="N44" i="1"/>
  <c r="M44" i="1"/>
  <c r="J44" i="1"/>
  <c r="I44" i="1"/>
  <c r="D44" i="1"/>
  <c r="Z43" i="1"/>
  <c r="Y43" i="1"/>
  <c r="W43" i="1"/>
  <c r="V43" i="1"/>
  <c r="U43" i="1"/>
  <c r="T43" i="1"/>
  <c r="S43" i="1"/>
  <c r="R43" i="1"/>
  <c r="Q43" i="1"/>
  <c r="N43" i="1"/>
  <c r="M43" i="1"/>
  <c r="J43" i="1"/>
  <c r="I43" i="1"/>
  <c r="D43" i="1"/>
  <c r="Z42" i="1"/>
  <c r="Y42" i="1"/>
  <c r="W42" i="1"/>
  <c r="V42" i="1"/>
  <c r="U42" i="1"/>
  <c r="T42" i="1"/>
  <c r="S42" i="1"/>
  <c r="R42" i="1"/>
  <c r="Q42" i="1"/>
  <c r="N42" i="1"/>
  <c r="M42" i="1"/>
  <c r="J42" i="1"/>
  <c r="I42" i="1"/>
  <c r="D42" i="1"/>
  <c r="Z41" i="1"/>
  <c r="Y41" i="1"/>
  <c r="W41" i="1"/>
  <c r="V41" i="1"/>
  <c r="U41" i="1"/>
  <c r="T41" i="1"/>
  <c r="S41" i="1"/>
  <c r="R41" i="1"/>
  <c r="Q41" i="1"/>
  <c r="N41" i="1"/>
  <c r="M41" i="1"/>
  <c r="J41" i="1"/>
  <c r="I41" i="1"/>
  <c r="D41" i="1"/>
  <c r="Z40" i="1"/>
  <c r="Y40" i="1"/>
  <c r="W40" i="1"/>
  <c r="V40" i="1"/>
  <c r="U40" i="1"/>
  <c r="T40" i="1"/>
  <c r="S40" i="1"/>
  <c r="R40" i="1"/>
  <c r="Q40" i="1"/>
  <c r="N40" i="1"/>
  <c r="M40" i="1"/>
  <c r="J40" i="1"/>
  <c r="I40" i="1"/>
  <c r="D40" i="1"/>
  <c r="Z39" i="1"/>
  <c r="Y39" i="1"/>
  <c r="W39" i="1"/>
  <c r="V39" i="1"/>
  <c r="U39" i="1"/>
  <c r="T39" i="1"/>
  <c r="S39" i="1"/>
  <c r="R39" i="1"/>
  <c r="Q39" i="1"/>
  <c r="N39" i="1"/>
  <c r="M39" i="1"/>
  <c r="J39" i="1"/>
  <c r="I39" i="1"/>
  <c r="D39" i="1"/>
  <c r="Z38" i="1"/>
  <c r="Y38" i="1"/>
  <c r="W38" i="1"/>
  <c r="V38" i="1"/>
  <c r="U38" i="1"/>
  <c r="T38" i="1"/>
  <c r="S38" i="1"/>
  <c r="R38" i="1"/>
  <c r="Q38" i="1"/>
  <c r="N38" i="1"/>
  <c r="M38" i="1"/>
  <c r="J38" i="1"/>
  <c r="I38" i="1"/>
  <c r="D38" i="1"/>
  <c r="Z37" i="1"/>
  <c r="Y37" i="1"/>
  <c r="W37" i="1"/>
  <c r="V37" i="1"/>
  <c r="U37" i="1"/>
  <c r="T37" i="1"/>
  <c r="S37" i="1"/>
  <c r="R37" i="1"/>
  <c r="Q37" i="1"/>
  <c r="N37" i="1"/>
  <c r="M37" i="1"/>
  <c r="J37" i="1"/>
  <c r="I37" i="1"/>
  <c r="D37" i="1"/>
  <c r="Z36" i="1"/>
  <c r="Y36" i="1"/>
  <c r="W36" i="1"/>
  <c r="V36" i="1"/>
  <c r="U36" i="1"/>
  <c r="T36" i="1"/>
  <c r="S36" i="1"/>
  <c r="R36" i="1"/>
  <c r="Q36" i="1"/>
  <c r="N36" i="1"/>
  <c r="M36" i="1"/>
  <c r="J36" i="1"/>
  <c r="I36" i="1"/>
  <c r="D36" i="1"/>
  <c r="Z35" i="1"/>
  <c r="Y35" i="1"/>
  <c r="W35" i="1"/>
  <c r="V35" i="1"/>
  <c r="U35" i="1"/>
  <c r="T35" i="1"/>
  <c r="S35" i="1"/>
  <c r="R35" i="1"/>
  <c r="Q35" i="1"/>
  <c r="N35" i="1"/>
  <c r="M35" i="1"/>
  <c r="J35" i="1"/>
  <c r="I35" i="1"/>
  <c r="D35" i="1"/>
  <c r="Z34" i="1"/>
  <c r="Y34" i="1"/>
  <c r="W34" i="1"/>
  <c r="V34" i="1"/>
  <c r="U34" i="1"/>
  <c r="T34" i="1"/>
  <c r="S34" i="1"/>
  <c r="R34" i="1"/>
  <c r="Q34" i="1"/>
  <c r="N34" i="1"/>
  <c r="M34" i="1"/>
  <c r="J34" i="1"/>
  <c r="I34" i="1"/>
  <c r="D34" i="1"/>
  <c r="Z33" i="1"/>
  <c r="Y33" i="1"/>
  <c r="W33" i="1"/>
  <c r="V33" i="1"/>
  <c r="U33" i="1"/>
  <c r="T33" i="1"/>
  <c r="S33" i="1"/>
  <c r="R33" i="1"/>
  <c r="Q33" i="1"/>
  <c r="N33" i="1"/>
  <c r="M33" i="1"/>
  <c r="J33" i="1"/>
  <c r="I33" i="1"/>
  <c r="D33" i="1"/>
  <c r="Z32" i="1"/>
  <c r="Y32" i="1"/>
  <c r="W32" i="1"/>
  <c r="V32" i="1"/>
  <c r="U32" i="1"/>
  <c r="T32" i="1"/>
  <c r="S32" i="1"/>
  <c r="R32" i="1"/>
  <c r="Q32" i="1"/>
  <c r="N32" i="1"/>
  <c r="M32" i="1"/>
  <c r="J32" i="1"/>
  <c r="I32" i="1"/>
  <c r="D32" i="1"/>
  <c r="Z31" i="1"/>
  <c r="Y31" i="1"/>
  <c r="W31" i="1"/>
  <c r="V31" i="1"/>
  <c r="U31" i="1"/>
  <c r="T31" i="1"/>
  <c r="S31" i="1"/>
  <c r="R31" i="1"/>
  <c r="Q31" i="1"/>
  <c r="N31" i="1"/>
  <c r="M31" i="1"/>
  <c r="J31" i="1"/>
  <c r="I31" i="1"/>
  <c r="D31" i="1"/>
  <c r="Z30" i="1"/>
  <c r="Y30" i="1"/>
  <c r="W30" i="1"/>
  <c r="V30" i="1"/>
  <c r="U30" i="1"/>
  <c r="T30" i="1"/>
  <c r="S30" i="1"/>
  <c r="R30" i="1"/>
  <c r="Q30" i="1"/>
  <c r="N30" i="1"/>
  <c r="M30" i="1"/>
  <c r="J30" i="1"/>
  <c r="I30" i="1"/>
  <c r="D30" i="1"/>
  <c r="Z29" i="1"/>
  <c r="Y29" i="1"/>
  <c r="W29" i="1"/>
  <c r="V29" i="1"/>
  <c r="U29" i="1"/>
  <c r="T29" i="1"/>
  <c r="S29" i="1"/>
  <c r="R29" i="1"/>
  <c r="Q29" i="1"/>
  <c r="N29" i="1"/>
  <c r="M29" i="1"/>
  <c r="J29" i="1"/>
  <c r="I29" i="1"/>
  <c r="D29" i="1"/>
  <c r="W28" i="1"/>
  <c r="C14" i="3" s="1"/>
  <c r="V28" i="1"/>
  <c r="C13" i="3" s="1"/>
  <c r="U28" i="1"/>
  <c r="C9" i="3" s="1"/>
  <c r="T28" i="1"/>
  <c r="C8" i="3" s="1"/>
  <c r="S28" i="1"/>
  <c r="R28" i="1"/>
  <c r="Q28" i="1"/>
  <c r="C11" i="3" s="1"/>
  <c r="N28" i="1"/>
  <c r="M28" i="1"/>
  <c r="C6" i="3" s="1"/>
  <c r="J28" i="1"/>
  <c r="C16" i="3" s="1"/>
  <c r="I28" i="1"/>
  <c r="C29" i="3" s="1"/>
  <c r="D29" i="3" s="1"/>
  <c r="D28" i="1"/>
  <c r="W27" i="1"/>
  <c r="V27" i="1"/>
  <c r="U27" i="1"/>
  <c r="T27" i="1"/>
  <c r="S27" i="1"/>
  <c r="R27" i="1"/>
  <c r="Q27" i="1"/>
  <c r="N27" i="1"/>
  <c r="M27" i="1"/>
  <c r="J27" i="1"/>
  <c r="I27" i="1"/>
  <c r="D27" i="1"/>
  <c r="W26" i="1"/>
  <c r="V26" i="1"/>
  <c r="U26" i="1"/>
  <c r="T26" i="1"/>
  <c r="S26" i="1"/>
  <c r="R26" i="1"/>
  <c r="Q26" i="1"/>
  <c r="N26" i="1"/>
  <c r="M26" i="1"/>
  <c r="J26" i="1"/>
  <c r="I26" i="1"/>
  <c r="D26" i="1"/>
  <c r="Z25" i="1"/>
  <c r="Y25" i="1"/>
  <c r="Y26" i="1" s="1"/>
  <c r="W25" i="1"/>
  <c r="V25" i="1"/>
  <c r="U25" i="1"/>
  <c r="T25" i="1"/>
  <c r="S25" i="1"/>
  <c r="R25" i="1"/>
  <c r="Q25" i="1"/>
  <c r="N25" i="1"/>
  <c r="M25" i="1"/>
  <c r="J25" i="1"/>
  <c r="I25" i="1"/>
  <c r="D25" i="1"/>
  <c r="Z24" i="1"/>
  <c r="Y24" i="1"/>
  <c r="W24" i="1"/>
  <c r="V24" i="1"/>
  <c r="U24" i="1"/>
  <c r="T24" i="1"/>
  <c r="S24" i="1"/>
  <c r="R24" i="1"/>
  <c r="Q24" i="1"/>
  <c r="N24" i="1"/>
  <c r="M24" i="1"/>
  <c r="J24" i="1"/>
  <c r="I24" i="1"/>
  <c r="D24" i="1"/>
  <c r="W23" i="1"/>
  <c r="V23" i="1"/>
  <c r="U23" i="1"/>
  <c r="T23" i="1"/>
  <c r="S23" i="1"/>
  <c r="R23" i="1"/>
  <c r="Q23" i="1"/>
  <c r="N23" i="1"/>
  <c r="M23" i="1"/>
  <c r="J23" i="1"/>
  <c r="I23" i="1"/>
  <c r="D23" i="1"/>
  <c r="W22" i="1"/>
  <c r="V22" i="1"/>
  <c r="U22" i="1"/>
  <c r="T22" i="1"/>
  <c r="S22" i="1"/>
  <c r="R22" i="1"/>
  <c r="Q22" i="1"/>
  <c r="N22" i="1"/>
  <c r="M22" i="1"/>
  <c r="J22" i="1"/>
  <c r="I22" i="1"/>
  <c r="D22" i="1"/>
  <c r="W21" i="1"/>
  <c r="V21" i="1"/>
  <c r="U21" i="1"/>
  <c r="T21" i="1"/>
  <c r="S21" i="1"/>
  <c r="R21" i="1"/>
  <c r="Q21" i="1"/>
  <c r="N21" i="1"/>
  <c r="M21" i="1"/>
  <c r="J21" i="1"/>
  <c r="I21" i="1"/>
  <c r="D21" i="1"/>
  <c r="W20" i="1"/>
  <c r="V20" i="1"/>
  <c r="U20" i="1"/>
  <c r="T20" i="1"/>
  <c r="S20" i="1"/>
  <c r="R20" i="1"/>
  <c r="Q20" i="1"/>
  <c r="N20" i="1"/>
  <c r="M20" i="1"/>
  <c r="J20" i="1"/>
  <c r="I20" i="1"/>
  <c r="D20" i="1"/>
  <c r="Y19" i="1"/>
  <c r="Z19" i="1" s="1"/>
  <c r="W19" i="1"/>
  <c r="V19" i="1"/>
  <c r="U19" i="1"/>
  <c r="T19" i="1"/>
  <c r="S19" i="1"/>
  <c r="R19" i="1"/>
  <c r="Q19" i="1"/>
  <c r="N19" i="1"/>
  <c r="M19" i="1"/>
  <c r="J19" i="1"/>
  <c r="I19" i="1"/>
  <c r="D19" i="1"/>
  <c r="Z18" i="1"/>
  <c r="Y18" i="1"/>
  <c r="W18" i="1"/>
  <c r="V18" i="1"/>
  <c r="U18" i="1"/>
  <c r="T18" i="1"/>
  <c r="S18" i="1"/>
  <c r="R18" i="1"/>
  <c r="Q18" i="1"/>
  <c r="N18" i="1"/>
  <c r="M18" i="1"/>
  <c r="J18" i="1"/>
  <c r="I18" i="1"/>
  <c r="D18" i="1"/>
  <c r="W17" i="1"/>
  <c r="V17" i="1"/>
  <c r="U17" i="1"/>
  <c r="T17" i="1"/>
  <c r="S17" i="1"/>
  <c r="R17" i="1"/>
  <c r="Q17" i="1"/>
  <c r="N17" i="1"/>
  <c r="M17" i="1"/>
  <c r="J17" i="1"/>
  <c r="I17" i="1"/>
  <c r="D17" i="1"/>
  <c r="Z16" i="1"/>
  <c r="Y16" i="1"/>
  <c r="Y17" i="1" s="1"/>
  <c r="Z17" i="1" s="1"/>
  <c r="W16" i="1"/>
  <c r="V16" i="1"/>
  <c r="U16" i="1"/>
  <c r="T16" i="1"/>
  <c r="S16" i="1"/>
  <c r="R16" i="1"/>
  <c r="Q16" i="1"/>
  <c r="N16" i="1"/>
  <c r="M16" i="1"/>
  <c r="J16" i="1"/>
  <c r="I16" i="1"/>
  <c r="D16" i="1"/>
  <c r="Y15" i="1"/>
  <c r="Z15" i="1" s="1"/>
  <c r="W15" i="1"/>
  <c r="V15" i="1"/>
  <c r="U15" i="1"/>
  <c r="T15" i="1"/>
  <c r="S15" i="1"/>
  <c r="R15" i="1"/>
  <c r="Q15" i="1"/>
  <c r="N15" i="1"/>
  <c r="M15" i="1"/>
  <c r="J15" i="1"/>
  <c r="I15" i="1"/>
  <c r="D15" i="1"/>
  <c r="Z14" i="1"/>
  <c r="Y14" i="1"/>
  <c r="W14" i="1"/>
  <c r="V14" i="1"/>
  <c r="U14" i="1"/>
  <c r="T14" i="1"/>
  <c r="S14" i="1"/>
  <c r="R14" i="1"/>
  <c r="Q14" i="1"/>
  <c r="N14" i="1"/>
  <c r="M14" i="1"/>
  <c r="J14" i="1"/>
  <c r="I14" i="1"/>
  <c r="D14" i="1"/>
  <c r="Z13" i="1"/>
  <c r="Y13" i="1"/>
  <c r="W13" i="1"/>
  <c r="V13" i="1"/>
  <c r="U13" i="1"/>
  <c r="T13" i="1"/>
  <c r="S13" i="1"/>
  <c r="R13" i="1"/>
  <c r="Q13" i="1"/>
  <c r="N13" i="1"/>
  <c r="M13" i="1"/>
  <c r="J13" i="1"/>
  <c r="I13" i="1"/>
  <c r="D13" i="1"/>
  <c r="Z12" i="1"/>
  <c r="Y12" i="1"/>
  <c r="W12" i="1"/>
  <c r="V12" i="1"/>
  <c r="U12" i="1"/>
  <c r="T12" i="1"/>
  <c r="S12" i="1"/>
  <c r="R12" i="1"/>
  <c r="Q12" i="1"/>
  <c r="N12" i="1"/>
  <c r="M12" i="1"/>
  <c r="J12" i="1"/>
  <c r="I12" i="1"/>
  <c r="D12" i="1"/>
  <c r="W11" i="1"/>
  <c r="V11" i="1"/>
  <c r="U11" i="1"/>
  <c r="T11" i="1"/>
  <c r="S11" i="1"/>
  <c r="R11" i="1"/>
  <c r="Q11" i="1"/>
  <c r="N11" i="1"/>
  <c r="M11" i="1"/>
  <c r="J11" i="1"/>
  <c r="I11" i="1"/>
  <c r="D11" i="1"/>
  <c r="W10" i="1"/>
  <c r="V10" i="1"/>
  <c r="U10" i="1"/>
  <c r="T10" i="1"/>
  <c r="S10" i="1"/>
  <c r="R10" i="1"/>
  <c r="Q10" i="1"/>
  <c r="N10" i="1"/>
  <c r="M10" i="1"/>
  <c r="J10" i="1"/>
  <c r="I10" i="1"/>
  <c r="D10" i="1"/>
  <c r="Z9" i="1"/>
  <c r="Y9" i="1"/>
  <c r="Y10" i="1" s="1"/>
  <c r="W9" i="1"/>
  <c r="V9" i="1"/>
  <c r="U9" i="1"/>
  <c r="T9" i="1"/>
  <c r="S9" i="1"/>
  <c r="R9" i="1"/>
  <c r="Q9" i="1"/>
  <c r="N9" i="1"/>
  <c r="M9" i="1"/>
  <c r="J9" i="1"/>
  <c r="I9" i="1"/>
  <c r="D9" i="1"/>
  <c r="Z8" i="1"/>
  <c r="Y8" i="1"/>
  <c r="W8" i="1"/>
  <c r="V8" i="1"/>
  <c r="U8" i="1"/>
  <c r="T8" i="1"/>
  <c r="S8" i="1"/>
  <c r="R8" i="1"/>
  <c r="Q8" i="1"/>
  <c r="N8" i="1"/>
  <c r="M8" i="1"/>
  <c r="J8" i="1"/>
  <c r="I8" i="1"/>
  <c r="D8" i="1"/>
  <c r="W7" i="1"/>
  <c r="V7" i="1"/>
  <c r="U7" i="1"/>
  <c r="T7" i="1"/>
  <c r="S7" i="1"/>
  <c r="R7" i="1"/>
  <c r="Q7" i="1"/>
  <c r="N7" i="1"/>
  <c r="M7" i="1"/>
  <c r="J7" i="1"/>
  <c r="I7" i="1"/>
  <c r="D7" i="1"/>
  <c r="W6" i="1"/>
  <c r="V6" i="1"/>
  <c r="U6" i="1"/>
  <c r="T6" i="1"/>
  <c r="S6" i="1"/>
  <c r="R6" i="1"/>
  <c r="Q6" i="1"/>
  <c r="N6" i="1"/>
  <c r="M6" i="1"/>
  <c r="J6" i="1"/>
  <c r="I6" i="1"/>
  <c r="D6" i="1"/>
  <c r="Z5" i="1"/>
  <c r="Y5" i="1"/>
  <c r="Y6" i="1" s="1"/>
  <c r="W5" i="1"/>
  <c r="V5" i="1"/>
  <c r="U5" i="1"/>
  <c r="T5" i="1"/>
  <c r="S5" i="1"/>
  <c r="J5" i="1"/>
  <c r="I5" i="1"/>
  <c r="Z6" i="1" l="1"/>
  <c r="Y7" i="1"/>
  <c r="Z7" i="1" s="1"/>
  <c r="Z10" i="1"/>
  <c r="Y11" i="1"/>
  <c r="Z11" i="1" s="1"/>
  <c r="Z26" i="1"/>
  <c r="Y27" i="1"/>
  <c r="C15" i="3"/>
  <c r="Y20" i="1"/>
  <c r="C36" i="3"/>
  <c r="D36" i="3"/>
  <c r="C37" i="3"/>
  <c r="D30" i="3"/>
  <c r="Z27" i="1" l="1"/>
  <c r="Y28" i="1"/>
  <c r="Z20" i="1"/>
  <c r="Y21" i="1"/>
  <c r="Y22" i="1" l="1"/>
  <c r="Z21" i="1"/>
  <c r="Z28" i="1"/>
  <c r="C30" i="3" s="1"/>
  <c r="C28" i="3"/>
  <c r="D28" i="3" s="1"/>
  <c r="C31" i="3" s="1"/>
  <c r="C18" i="3" l="1"/>
  <c r="D31" i="3"/>
  <c r="Y23" i="1"/>
  <c r="Z23" i="1" s="1"/>
  <c r="Z22" i="1"/>
</calcChain>
</file>

<file path=xl/sharedStrings.xml><?xml version="1.0" encoding="utf-8"?>
<sst xmlns="http://schemas.openxmlformats.org/spreadsheetml/2006/main" count="260" uniqueCount="218">
  <si>
    <t>VIX TERM STRUCTURE &amp; MOVE INDEX  —  DAILY HISTORY LOG</t>
  </si>
  <si>
    <t>Matt Mattheisen-Shomer Analytics  ·  Enter daily readings in blue cells  ·  Regime flags update automatically</t>
  </si>
  <si>
    <t>VIX TERM STRUCTURE</t>
  </si>
  <si>
    <t>REGIME &amp; SIGNAL</t>
  </si>
  <si>
    <t>BREADTH</t>
  </si>
  <si>
    <t>Date</t>
  </si>
  <si>
    <t>Spot VIX</t>
  </si>
  <si>
    <t>VIX
1d Chg</t>
  </si>
  <si>
    <t>Apr
/VXJ26</t>
  </si>
  <si>
    <t>May
/VXK26</t>
  </si>
  <si>
    <t>Jun
/VXM26</t>
  </si>
  <si>
    <t>Jul
/VXN26</t>
  </si>
  <si>
    <t>Front
Spread</t>
  </si>
  <si>
    <t>Second
Spread</t>
  </si>
  <si>
    <t>MOVE
Index</t>
  </si>
  <si>
    <t>MOVE
1d Chg</t>
  </si>
  <si>
    <t>MOVE
1d Chg %</t>
  </si>
  <si>
    <t>COR1M
Index</t>
  </si>
  <si>
    <t>COR1M
1d Chg</t>
  </si>
  <si>
    <t>COR1M
1d Chg %</t>
  </si>
  <si>
    <t>COR1M
Regime</t>
  </si>
  <si>
    <t>VIX
Regime</t>
  </si>
  <si>
    <t>MOVE
Regime</t>
  </si>
  <si>
    <t>Combined
Signal</t>
  </si>
  <si>
    <t xml:space="preserve">
Signal</t>
  </si>
  <si>
    <t>VIX Down
Days (consec)</t>
  </si>
  <si>
    <t>Reversion
Watch Flag</t>
  </si>
  <si>
    <t>$SPXA50R
&gt;50SMA %
(enter 0-100)</t>
  </si>
  <si>
    <t>McO
(NYSE)
+ or -</t>
  </si>
  <si>
    <t>03/09/2026</t>
  </si>
  <si>
    <t>-</t>
  </si>
  <si>
    <t>03/10/2026</t>
  </si>
  <si>
    <t>03/11/2026</t>
  </si>
  <si>
    <t>03/12/2026</t>
  </si>
  <si>
    <t>REGIME REFERENCE TABLE  —  VIX &amp; MOVE Combined Framework</t>
  </si>
  <si>
    <t>Matt Mattheisen-Shomer Analytics  ·  For Internal Use Only</t>
  </si>
  <si>
    <t xml:space="preserve">  VIX REGIME TABLE</t>
  </si>
  <si>
    <t>VIX Level</t>
  </si>
  <si>
    <t>Spread</t>
  </si>
  <si>
    <t>Regime</t>
  </si>
  <si>
    <t>TQL Action</t>
  </si>
  <si>
    <t>TLT Action</t>
  </si>
  <si>
    <t>Cash %</t>
  </si>
  <si>
    <t>Below 15</t>
  </si>
  <si>
    <t>Negative (Contango)</t>
  </si>
  <si>
    <t>EQUITY TREND</t>
  </si>
  <si>
    <t>Full deployment, max sizing</t>
  </si>
  <si>
    <t>Hold / no tactical add</t>
  </si>
  <si>
    <t>20-30%</t>
  </si>
  <si>
    <t>15 – 25</t>
  </si>
  <si>
    <t>0 to +2</t>
  </si>
  <si>
    <t>NORMAL</t>
  </si>
  <si>
    <t>Standard TQL operations</t>
  </si>
  <si>
    <t>Monitor — no entry yet</t>
  </si>
  <si>
    <t>30-40%</t>
  </si>
  <si>
    <t>25 – 35</t>
  </si>
  <si>
    <t>+2 to +5</t>
  </si>
  <si>
    <t>ELEVATED</t>
  </si>
  <si>
    <t>Reduce sizing, build watchlist</t>
  </si>
  <si>
    <t>TLT entry building — Mar 25</t>
  </si>
  <si>
    <t>60-70%</t>
  </si>
  <si>
    <t>◄  TODAY</t>
  </si>
  <si>
    <t>35 – 45</t>
  </si>
  <si>
    <t>+5 to +10</t>
  </si>
  <si>
    <t>HIGH STRESS</t>
  </si>
  <si>
    <t>Quality names only, tranches</t>
  </si>
  <si>
    <t>Strong TLT buy signal</t>
  </si>
  <si>
    <t>70-80%</t>
  </si>
  <si>
    <t>Above 45</t>
  </si>
  <si>
    <t>Above +10</t>
  </si>
  <si>
    <t>CRISIS</t>
  </si>
  <si>
    <t>Maximum cash, watchlist ready</t>
  </si>
  <si>
    <t>Full TLT + wait for peak</t>
  </si>
  <si>
    <t>80-90%</t>
  </si>
  <si>
    <t xml:space="preserve">  MOVE INDEX REGIME TABLE</t>
  </si>
  <si>
    <t>MOVE Level</t>
  </si>
  <si>
    <t>Interpretation</t>
  </si>
  <si>
    <t>Bond Market Implication</t>
  </si>
  <si>
    <t>Portfolio Action</t>
  </si>
  <si>
    <t>Duration Stance</t>
  </si>
  <si>
    <t>Below 90</t>
  </si>
  <si>
    <t>Low vol, calm rates</t>
  </si>
  <si>
    <t>Rates stable, bond market orderly</t>
  </si>
  <si>
    <t>Normal positioning</t>
  </si>
  <si>
    <t>Standard duration OK</t>
  </si>
  <si>
    <t>90 – 120</t>
  </si>
  <si>
    <t>Elevated uncertainty</t>
  </si>
  <si>
    <t>Rates volatile, repricing risk</t>
  </si>
  <si>
    <t>Watch duration exposure</t>
  </si>
  <si>
    <t>Favor short end</t>
  </si>
  <si>
    <t>◄  TODAY (95.30)</t>
  </si>
  <si>
    <t>120 – 160</t>
  </si>
  <si>
    <t>High stress</t>
  </si>
  <si>
    <t>Significant rate moves expected</t>
  </si>
  <si>
    <t>Reduce duration, hold short CDs</t>
  </si>
  <si>
    <t>Short only</t>
  </si>
  <si>
    <t>Above 160</t>
  </si>
  <si>
    <t>Crisis vol in bonds</t>
  </si>
  <si>
    <t>TLT tactical trade, not a hold</t>
  </si>
  <si>
    <t>Maximum cash, wait for peak</t>
  </si>
  <si>
    <t>Avoid duration entirely</t>
  </si>
  <si>
    <t xml:space="preserve">  VIX × MOVE COMBINED SIGNAL MATRIX</t>
  </si>
  <si>
    <t>MOVE: NORMAL
(&lt; 90)</t>
  </si>
  <si>
    <t>MOVE: ELEVATED
(90-120)</t>
  </si>
  <si>
    <t>MOVE: HIGH STRESS
(120-160)</t>
  </si>
  <si>
    <t>MOVE: CRISIS
(&gt; 160)</t>
  </si>
  <si>
    <t>VIX: EQUITY TREND
(&lt; 15)</t>
  </si>
  <si>
    <t>✦ FULL DEPLOYMENT
Max sizing, risk-on</t>
  </si>
  <si>
    <t>STANDARD OPS
Equity OK, watch bonds</t>
  </si>
  <si>
    <t>REDUCE EQUITY
Rate shock risk</t>
  </si>
  <si>
    <t>CRISIS
Max cash</t>
  </si>
  <si>
    <t>VIX: NORMAL
(15-25)</t>
  </si>
  <si>
    <t>STANDARD OPS
Normal operations</t>
  </si>
  <si>
    <t>STANDARD OPS
Monitor both</t>
  </si>
  <si>
    <t>REDUCE SIZING
Bond stress elevated</t>
  </si>
  <si>
    <t>HIGH STRESS
Quality + cash</t>
  </si>
  <si>
    <t>VIX: ELEVATED
(25-35)</t>
  </si>
  <si>
    <t>REDUCE SIZING
Equity stress, bonds OK</t>
  </si>
  <si>
    <t>REDUCE / BUILD LIST
◄ TODAY</t>
  </si>
  <si>
    <t>HIGH STRESS
Tranches only</t>
  </si>
  <si>
    <t>VIX: HIGH STRESS
(35-45)</t>
  </si>
  <si>
    <t>QUALITY ONLY
TLT buy signal</t>
  </si>
  <si>
    <t>QUALITY ONLY
Strong TLT signal</t>
  </si>
  <si>
    <t>MAX CASH
Survival mode</t>
  </si>
  <si>
    <t>CRISIS
All cash + TLT</t>
  </si>
  <si>
    <t>VIX: CRISIS
(&gt; 45)</t>
  </si>
  <si>
    <t>MAX CASH
Wait for VIX peak</t>
  </si>
  <si>
    <t>MAX CASH
Wait for peak</t>
  </si>
  <si>
    <t>MAX CASH
Full defensive</t>
  </si>
  <si>
    <t>EXTREME CRISIS
Cash + short TLT</t>
  </si>
  <si>
    <t xml:space="preserve">  COR1M IMPLIED CORRELATION REGIME TABLE</t>
  </si>
  <si>
    <t>COR1M Level</t>
  </si>
  <si>
    <t>Market Implication</t>
  </si>
  <si>
    <t>Below 20</t>
  </si>
  <si>
    <t>Low correlation, calm</t>
  </si>
  <si>
    <t>CALM</t>
  </si>
  <si>
    <t>Full scanner activation</t>
  </si>
  <si>
    <t>20 – 40</t>
  </si>
  <si>
    <t>Moderate synchronization</t>
  </si>
  <si>
    <t>Standard ops, monitor daily</t>
  </si>
  <si>
    <t>40 – 60</t>
  </si>
  <si>
    <t>High synchronization</t>
  </si>
  <si>
    <t>STRESSED</t>
  </si>
  <si>
    <t>Above 60</t>
  </si>
  <si>
    <t>Extreme synchronization</t>
  </si>
  <si>
    <t>Maximum cash, all scanners off</t>
  </si>
  <si>
    <t>REVERSION WATCH — PIVOT CONDITIONS</t>
  </si>
  <si>
    <t>Condition</t>
  </si>
  <si>
    <t>Threshold</t>
  </si>
  <si>
    <t>Current Status Logic</t>
  </si>
  <si>
    <t>Why It Matters</t>
  </si>
  <si>
    <t>Scanner Action</t>
  </si>
  <si>
    <t>① VIX &lt; 25</t>
  </si>
  <si>
    <t>Below 25 sustained</t>
  </si>
  <si>
    <t>Checks Spot VIX latest reading</t>
  </si>
  <si>
    <t>Below 25 = NORMAL regime. Mean-reversion viable again.</t>
  </si>
  <si>
    <t>RSI-2 watchlist begin</t>
  </si>
  <si>
    <t>② MOVE &lt; 95</t>
  </si>
  <si>
    <t>Below 95</t>
  </si>
  <si>
    <t>Checks MOVE Index latest reading</t>
  </si>
  <si>
    <t>Bond vol normalized. Rate shock channel closing.</t>
  </si>
  <si>
    <t>Confirm before entry</t>
  </si>
  <si>
    <t>③ COR1M &lt; 30</t>
  </si>
  <si>
    <t>Below 30</t>
  </si>
  <si>
    <t>Checks COR1M latest reading</t>
  </si>
  <si>
    <t>Stocks decoupling. Idiosyncratic moves returning.</t>
  </si>
  <si>
    <t>Scanner signals reliable again</t>
  </si>
  <si>
    <t>④ VIX Down 3+ Days</t>
  </si>
  <si>
    <t>3 consecutive down days</t>
  </si>
  <si>
    <t>Counts consecutive VIX declines</t>
  </si>
  <si>
    <t>Sustained cooling, not a one-day relief rally.</t>
  </si>
  <si>
    <t>Prevents narrative-trap re-entry</t>
  </si>
  <si>
    <t>⑤ VP Contango</t>
  </si>
  <si>
    <t>Front Spread &lt; 0</t>
  </si>
  <si>
    <t>Checks latest front-month spread</t>
  </si>
  <si>
    <t>Front-month fear premium gone. Vol normalizing structurally.</t>
  </si>
  <si>
    <t>ALL 5 MET</t>
  </si>
  <si>
    <t>5 of 5 passing</t>
  </si>
  <si>
    <t>Auto-calculated on Dashboard</t>
  </si>
  <si>
    <t>Full regime normalization confirmed.</t>
  </si>
  <si>
    <t>🟢 Re-activate RSI-2 + Turtle at 25% size</t>
  </si>
  <si>
    <t>DAILY VOLATILITY REGIME &amp; TLT TRADE SIGNAL DASHBOARD</t>
  </si>
  <si>
    <t>Matt Mattheisen-Shomer Analytics</t>
  </si>
  <si>
    <t>Spot VIX (latest)</t>
  </si>
  <si>
    <t>MOVE Index (latest)</t>
  </si>
  <si>
    <t>MOVE 1-Day Change</t>
  </si>
  <si>
    <t>MOVE 1-Day Change %</t>
  </si>
  <si>
    <t>VIX Regime</t>
  </si>
  <si>
    <t>MOVE Regime</t>
  </si>
  <si>
    <t>COR1M (latest)</t>
  </si>
  <si>
    <t>COR1M 1-Day Change</t>
  </si>
  <si>
    <t>COR1M Regime</t>
  </si>
  <si>
    <t>Combined Signal</t>
  </si>
  <si>
    <t>TLT Signal</t>
  </si>
  <si>
    <t>Apr Spread</t>
  </si>
  <si>
    <t>May Spread</t>
  </si>
  <si>
    <t>Reversion Potential</t>
  </si>
  <si>
    <t>Entry Timing</t>
  </si>
  <si>
    <t>TLT Position Size Signal</t>
  </si>
  <si>
    <t>All readings auto-update from Daily History Log. Enter new data in the blue cells on that sheet.</t>
  </si>
  <si>
    <t>REVERSION WATCH — PIVOT READINESS CHECKLIST</t>
  </si>
  <si>
    <t>④ VIX Down 3+ Consec Days</t>
  </si>
  <si>
    <t>⑤ VP (Front Spread) Contango</t>
  </si>
  <si>
    <t>⑥ Breadth Gate  (SP500&gt;50SMA ≥25 AND McO &gt; 0)</t>
  </si>
  <si>
    <t>CONDITIONS MET (need 6 of 6)</t>
  </si>
  <si>
    <t>When all 6 conditions pass: RSI-2 &amp; Turtle scanners may be re-activated. Start with 25% normal position size. Scale up only if conditions hold 3+ days.</t>
  </si>
  <si>
    <t>BREADTH PARTICIPATION — % SP500 ABOVE 50-DAY SMA</t>
  </si>
  <si>
    <t>% SP500 Above 50-Day SMA  (enter daily)</t>
  </si>
  <si>
    <t>Breadth Signal</t>
  </si>
  <si>
    <t>Scanner Re-Activation Gate</t>
  </si>
  <si>
    <t>McClellan Oscillator  (enter daily)</t>
  </si>
  <si>
    <t>McO Signal</t>
  </si>
  <si>
    <t>COMBINED BREADTH GATE  (SP500&gt;50SMA ≥25 AND McO &gt; 0)</t>
  </si>
  <si>
    <t>Source: Run sp500_breadth.py each morning → copy output into C34. McO: read from TOS lower panel on $NYAD chart → enter in C37.</t>
  </si>
  <si>
    <t>Stocks moving independently-benign regime</t>
  </si>
  <si>
    <t>Correlation rising-watch for transition</t>
  </si>
  <si>
    <t>Stocks moving together-VIX expansion precursor</t>
  </si>
  <si>
    <t>Full correlation spike-volatility event likely imminent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</si>
</sst>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+0.00;\-0.00;\-"/>
    <numFmt numFmtId="166" formatCode="\+0.0%;\-0.0%;\-"/>
    <numFmt numFmtId="167" formatCode="0.0%"/>
  </numFmts>
  <fonts count="3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6070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Calibri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charset val="1"/>
    </font>
    <font>
      <b/>
      <sz val="9"/>
      <name val="Calibri"/>
      <charset val="1"/>
    </font>
    <font>
      <sz val="10"/>
      <color rgb="FF0000FF"/>
      <name val="Arial"/>
      <family val="2"/>
      <charset val="1"/>
    </font>
    <font>
      <i/>
      <sz val="10"/>
      <color rgb="FF60708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FF"/>
      <name val="Calibri"/>
      <charset val="1"/>
    </font>
    <font>
      <b/>
      <sz val="10"/>
      <color rgb="FF000000"/>
      <name val="Arial"/>
      <family val="2"/>
      <charset val="1"/>
    </font>
    <font>
      <sz val="9"/>
      <color rgb="FF000000"/>
      <name val="Arial"/>
      <charset val="1"/>
    </font>
    <font>
      <sz val="10"/>
      <color rgb="FF0000FF"/>
      <name val="Calibri"/>
      <charset val="1"/>
    </font>
    <font>
      <b/>
      <sz val="13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222222"/>
      <name val="Arial"/>
      <family val="2"/>
      <charset val="1"/>
    </font>
    <font>
      <b/>
      <sz val="10"/>
      <color rgb="FF1B5E20"/>
      <name val="Arial"/>
      <family val="2"/>
      <charset val="1"/>
    </font>
    <font>
      <b/>
      <sz val="10"/>
      <color rgb="FF1565C0"/>
      <name val="Arial"/>
      <family val="2"/>
      <charset val="1"/>
    </font>
    <font>
      <b/>
      <sz val="10"/>
      <color rgb="FFE65100"/>
      <name val="Arial"/>
      <family val="2"/>
      <charset val="1"/>
    </font>
    <font>
      <b/>
      <sz val="10"/>
      <color rgb="FFB71C1C"/>
      <name val="Arial"/>
      <family val="2"/>
      <charset val="1"/>
    </font>
    <font>
      <b/>
      <sz val="10"/>
      <color rgb="FF4A148C"/>
      <name val="Arial"/>
      <family val="2"/>
      <charset val="1"/>
    </font>
    <font>
      <sz val="9"/>
      <color rgb="FF1B5E20"/>
      <name val="Arial"/>
      <family val="2"/>
      <charset val="1"/>
    </font>
    <font>
      <sz val="9"/>
      <color rgb="FF1565C0"/>
      <name val="Arial"/>
      <family val="2"/>
      <charset val="1"/>
    </font>
    <font>
      <sz val="9"/>
      <color rgb="FFE65100"/>
      <name val="Arial"/>
      <family val="2"/>
      <charset val="1"/>
    </font>
    <font>
      <sz val="9"/>
      <color rgb="FF4A148C"/>
      <name val="Arial"/>
      <family val="2"/>
      <charset val="1"/>
    </font>
    <font>
      <sz val="9"/>
      <color rgb="FFB71C1C"/>
      <name val="Arial"/>
      <family val="2"/>
      <charset val="1"/>
    </font>
    <font>
      <b/>
      <i/>
      <sz val="9"/>
      <color rgb="FFE65100"/>
      <name val="Arial"/>
      <family val="2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A2333"/>
      <name val="Arial"/>
      <family val="2"/>
      <charset val="1"/>
    </font>
    <font>
      <b/>
      <sz val="11"/>
      <color rgb="FF1565C0"/>
      <name val="Arial"/>
      <family val="2"/>
      <charset val="1"/>
    </font>
    <font>
      <i/>
      <sz val="8"/>
      <color rgb="FF607080"/>
      <name val="Arial"/>
      <family val="2"/>
      <charset val="1"/>
    </font>
    <font>
      <sz val="11"/>
      <name val="Calibri"/>
      <charset val="1"/>
    </font>
    <font>
      <i/>
      <sz val="9"/>
      <color rgb="FF595959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rgb="FF1A2333"/>
        <bgColor rgb="FF222222"/>
      </patternFill>
    </fill>
    <fill>
      <patternFill patternType="solid">
        <fgColor rgb="FFF5F7FA"/>
        <bgColor rgb="FFF2F2F2"/>
      </patternFill>
    </fill>
    <fill>
      <patternFill patternType="solid">
        <fgColor rgb="FF2E4057"/>
        <bgColor rgb="FF1F3864"/>
      </patternFill>
    </fill>
    <fill>
      <patternFill patternType="solid">
        <fgColor rgb="FF1A3A5C"/>
        <bgColor rgb="FF1F3864"/>
      </patternFill>
    </fill>
    <fill>
      <patternFill patternType="solid">
        <fgColor rgb="FF375623"/>
        <bgColor rgb="FF1B5E20"/>
      </patternFill>
    </fill>
    <fill>
      <patternFill patternType="solid">
        <fgColor rgb="FFFFFDE7"/>
        <bgColor rgb="FFFFFBF0"/>
      </patternFill>
    </fill>
    <fill>
      <patternFill patternType="solid">
        <fgColor rgb="FFEDE7F6"/>
        <bgColor rgb="FFF3E5F5"/>
      </patternFill>
    </fill>
    <fill>
      <patternFill patternType="solid">
        <fgColor rgb="FFDDEEFF"/>
        <bgColor rgb="FFE3F2FD"/>
      </patternFill>
    </fill>
    <fill>
      <patternFill patternType="solid">
        <fgColor rgb="FFFFFFFF"/>
        <bgColor rgb="FFFFFBF0"/>
      </patternFill>
    </fill>
    <fill>
      <patternFill patternType="solid">
        <fgColor rgb="FFE8F5E9"/>
        <bgColor rgb="FFEBF7EB"/>
      </patternFill>
    </fill>
    <fill>
      <patternFill patternType="solid">
        <fgColor rgb="FFE3F2FD"/>
        <bgColor rgb="FFEAF4FB"/>
      </patternFill>
    </fill>
    <fill>
      <patternFill patternType="solid">
        <fgColor rgb="FFFFF8E1"/>
        <bgColor rgb="FFFFFDE7"/>
      </patternFill>
    </fill>
    <fill>
      <patternFill patternType="solid">
        <fgColor rgb="FFFFEBEE"/>
        <bgColor rgb="FFFFF5F5"/>
      </patternFill>
    </fill>
    <fill>
      <patternFill patternType="solid">
        <fgColor rgb="FFF3E5F5"/>
        <bgColor rgb="FFEDE7F6"/>
      </patternFill>
    </fill>
    <fill>
      <patternFill patternType="solid">
        <fgColor rgb="FF1F2D3D"/>
        <bgColor rgb="FF1A2333"/>
      </patternFill>
    </fill>
    <fill>
      <patternFill patternType="solid">
        <fgColor rgb="FFEBF7EB"/>
        <bgColor rgb="FFE8F5E9"/>
      </patternFill>
    </fill>
    <fill>
      <patternFill patternType="solid">
        <fgColor rgb="FFEAF4FB"/>
        <bgColor rgb="FFE3F2FD"/>
      </patternFill>
    </fill>
    <fill>
      <patternFill patternType="solid">
        <fgColor rgb="FFFFFBF0"/>
        <bgColor rgb="FFFFFDE7"/>
      </patternFill>
    </fill>
    <fill>
      <patternFill patternType="solid">
        <fgColor rgb="FFFFF5F5"/>
        <bgColor rgb="FFFFFBF0"/>
      </patternFill>
    </fill>
    <fill>
      <patternFill patternType="solid">
        <fgColor rgb="FFF2F2F2"/>
        <bgColor rgb="FFF5F7FA"/>
      </patternFill>
    </fill>
    <fill>
      <patternFill patternType="solid">
        <fgColor rgb="FFE2EFDA"/>
        <bgColor rgb="FFE8F5E9"/>
      </patternFill>
    </fill>
    <fill>
      <patternFill patternType="solid">
        <fgColor rgb="FFDEEAF1"/>
        <bgColor rgb="FFDDEEFF"/>
      </patternFill>
    </fill>
    <fill>
      <patternFill patternType="solid">
        <fgColor rgb="FF1F3864"/>
        <bgColor rgb="FF1A3A5C"/>
      </patternFill>
    </fill>
    <fill>
      <patternFill patternType="solid">
        <fgColor rgb="FFBDD7EE"/>
        <bgColor rgb="FFDDDDDD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5">
    <xf numFmtId="0" fontId="0" fillId="0" borderId="0" xfId="0"/>
    <xf numFmtId="166" fontId="35" fillId="10" borderId="1" xfId="0" applyNumberFormat="1" applyFont="1" applyFill="1" applyBorder="1" applyAlignment="1">
      <alignment horizontal="center" vertical="center"/>
    </xf>
    <xf numFmtId="165" fontId="35" fillId="3" borderId="1" xfId="0" applyNumberFormat="1" applyFont="1" applyFill="1" applyBorder="1" applyAlignment="1">
      <alignment horizontal="center" vertical="center"/>
    </xf>
    <xf numFmtId="2" fontId="35" fillId="10" borderId="1" xfId="0" applyNumberFormat="1" applyFont="1" applyFill="1" applyBorder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1" fillId="6" borderId="5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0" fillId="0" borderId="0" xfId="0"/>
    <xf numFmtId="0" fontId="0" fillId="0" borderId="3" xfId="0" applyBorder="1"/>
    <xf numFmtId="0" fontId="0" fillId="3" borderId="3" xfId="0" applyFill="1" applyBorder="1"/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167" fontId="8" fillId="8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2" fontId="8" fillId="10" borderId="6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7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3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9" fillId="0" borderId="0" xfId="0" applyFont="1"/>
    <xf numFmtId="0" fontId="30" fillId="16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7" borderId="0" xfId="0" applyFill="1" applyAlignment="1">
      <alignment horizontal="left" vertical="center" wrapText="1"/>
    </xf>
    <xf numFmtId="0" fontId="0" fillId="18" borderId="0" xfId="0" applyFill="1" applyAlignment="1">
      <alignment horizontal="center" vertical="center" wrapText="1"/>
    </xf>
    <xf numFmtId="0" fontId="0" fillId="18" borderId="0" xfId="0" applyFill="1" applyAlignment="1">
      <alignment horizontal="left" vertical="center" wrapText="1"/>
    </xf>
    <xf numFmtId="0" fontId="0" fillId="19" borderId="0" xfId="0" applyFill="1" applyAlignment="1">
      <alignment horizontal="center" vertical="center" wrapText="1"/>
    </xf>
    <xf numFmtId="0" fontId="0" fillId="19" borderId="0" xfId="0" applyFill="1" applyAlignment="1">
      <alignment horizontal="left" vertical="center" wrapText="1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horizontal="left" vertical="center" wrapText="1"/>
    </xf>
    <xf numFmtId="0" fontId="32" fillId="21" borderId="5" xfId="0" applyFont="1" applyFill="1" applyBorder="1" applyAlignment="1">
      <alignment horizontal="center" vertical="center" wrapText="1"/>
    </xf>
    <xf numFmtId="0" fontId="32" fillId="21" borderId="5" xfId="0" applyFont="1" applyFill="1" applyBorder="1" applyAlignment="1">
      <alignment horizontal="left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horizontal="left" vertical="center" wrapText="1"/>
    </xf>
    <xf numFmtId="0" fontId="33" fillId="22" borderId="5" xfId="0" applyFont="1" applyFill="1" applyBorder="1" applyAlignment="1">
      <alignment horizontal="center" vertical="center" wrapText="1"/>
    </xf>
    <xf numFmtId="0" fontId="33" fillId="22" borderId="5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3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6" fillId="3" borderId="8" xfId="0" applyFont="1" applyFill="1" applyBorder="1"/>
    <xf numFmtId="0" fontId="0" fillId="0" borderId="9" xfId="0" applyBorder="1"/>
    <xf numFmtId="0" fontId="0" fillId="0" borderId="10" xfId="0" applyBorder="1"/>
    <xf numFmtId="0" fontId="33" fillId="23" borderId="5" xfId="0" applyFont="1" applyFill="1" applyBorder="1" applyAlignment="1">
      <alignment horizontal="left" vertical="center" indent="1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9" fillId="24" borderId="5" xfId="0" applyFont="1" applyFill="1" applyBorder="1" applyAlignment="1">
      <alignment horizontal="left" vertical="center" inden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8" fillId="21" borderId="5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30" fillId="24" borderId="0" xfId="0" applyFont="1" applyFill="1" applyAlignment="1">
      <alignment horizontal="left" vertical="center"/>
    </xf>
    <xf numFmtId="0" fontId="11" fillId="25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5" fillId="3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5" fillId="3" borderId="7" xfId="0" applyFont="1" applyFill="1" applyBorder="1" applyAlignment="1">
      <alignment horizontal="center" vertical="center"/>
    </xf>
    <xf numFmtId="165" fontId="35" fillId="10" borderId="1" xfId="0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8">
    <dxf>
      <font>
        <b/>
        <color rgb="FF1B5E20"/>
        <name val="Arial"/>
        <charset val="1"/>
      </font>
      <fill>
        <patternFill>
          <bgColor rgb="FFE8F5E9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4A148C"/>
        <name val="Arial"/>
        <charset val="1"/>
      </font>
      <fill>
        <patternFill>
          <bgColor rgb="FFF3E5F5"/>
        </patternFill>
      </fill>
    </dxf>
    <dxf>
      <font>
        <b/>
        <color rgb="FFB71C1C"/>
        <name val="Arial"/>
        <charset val="1"/>
      </font>
      <fill>
        <patternFill>
          <bgColor rgb="FFFFEBEE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1B5E20"/>
        <name val="Arial"/>
        <charset val="1"/>
      </font>
      <fill>
        <patternFill>
          <bgColor rgb="FFE8F5E9"/>
        </patternFill>
      </fill>
    </dxf>
    <dxf>
      <font>
        <b/>
        <color rgb="FF4A148C"/>
        <name val="Arial"/>
        <charset val="1"/>
      </font>
      <fill>
        <patternFill>
          <bgColor rgb="FFF3E5F5"/>
        </patternFill>
      </fill>
    </dxf>
    <dxf>
      <font>
        <b/>
        <color rgb="FFB71C1C"/>
        <name val="Arial"/>
        <charset val="1"/>
      </font>
      <fill>
        <patternFill>
          <bgColor rgb="FFFFEBEE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4A148C"/>
        <name val="Arial"/>
        <charset val="1"/>
      </font>
      <fill>
        <patternFill>
          <bgColor rgb="FFF3E5F5"/>
        </patternFill>
      </fill>
    </dxf>
    <dxf>
      <font>
        <b/>
        <color rgb="FFB71C1C"/>
        <name val="Arial"/>
        <charset val="1"/>
      </font>
      <fill>
        <patternFill>
          <bgColor rgb="FFFFEBEE"/>
        </patternFill>
      </fill>
    </dxf>
    <dxf>
      <font>
        <b/>
        <color rgb="FFE65100"/>
        <name val="Arial"/>
        <charset val="1"/>
      </font>
      <fill>
        <patternFill>
          <bgColor rgb="FFFFF8E1"/>
        </patternFill>
      </fill>
    </dxf>
    <dxf>
      <font>
        <b/>
        <color rgb="FF1565C0"/>
        <name val="Arial"/>
        <charset val="1"/>
      </font>
      <fill>
        <patternFill>
          <bgColor rgb="FFE3F2FD"/>
        </patternFill>
      </fill>
    </dxf>
    <dxf>
      <font>
        <b/>
        <color rgb="FF1B5E20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1B5E20"/>
      <rgbColor rgb="FF2E4057"/>
      <rgbColor rgb="FF375623"/>
      <rgbColor rgb="FF800080"/>
      <rgbColor rgb="FF008080"/>
      <rgbColor rgb="FFBFBFBF"/>
      <rgbColor rgb="FF595959"/>
      <rgbColor rgb="FFDEEAF1"/>
      <rgbColor rgb="FF993366"/>
      <rgbColor rgb="FFFFF8E1"/>
      <rgbColor rgb="FFDDEEFF"/>
      <rgbColor rgb="FF4A148C"/>
      <rgbColor rgb="FFF2F2F2"/>
      <rgbColor rgb="FF1565C0"/>
      <rgbColor rgb="FFBDD7EE"/>
      <rgbColor rgb="FF000080"/>
      <rgbColor rgb="FFFF00FF"/>
      <rgbColor rgb="FFEBF7EB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DE7"/>
      <rgbColor rgb="FFBBBBBB"/>
      <rgbColor rgb="FFF3E5F5"/>
      <rgbColor rgb="FFEDE7F6"/>
      <rgbColor rgb="FFDDDDDD"/>
      <rgbColor rgb="FF3366FF"/>
      <rgbColor rgb="FFFFFBF0"/>
      <rgbColor rgb="FFF5F7FA"/>
      <rgbColor rgb="FFFFEBEE"/>
      <rgbColor rgb="FFFFF5F5"/>
      <rgbColor rgb="FFE65100"/>
      <rgbColor rgb="FF607080"/>
      <rgbColor rgb="FFEAF4FB"/>
      <rgbColor rgb="FF1A3A5C"/>
      <rgbColor rgb="FF339966"/>
      <rgbColor rgb="FF1A2333"/>
      <rgbColor rgb="FF222222"/>
      <rgbColor rgb="FFB71C1C"/>
      <rgbColor rgb="FF993366"/>
      <rgbColor rgb="FF1F3864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333"/>
  </sheetPr>
  <dimension ref="A1:AB64"/>
  <sheetViews>
    <sheetView showGridLines="0" topLeftCell="O1" zoomScaleNormal="100" workbookViewId="0">
      <pane ySplit="3" topLeftCell="A18" activePane="bottomLeft" state="frozen"/>
      <selection activeCell="B1" sqref="B1"/>
      <selection pane="bottomLeft" activeCell="L29" sqref="L29"/>
    </sheetView>
  </sheetViews>
  <sheetFormatPr defaultColWidth="8.6640625" defaultRowHeight="14.4" x14ac:dyDescent="0.3"/>
  <cols>
    <col min="1" max="1" width="3" customWidth="1"/>
    <col min="2" max="2" width="13" customWidth="1"/>
    <col min="3" max="3" width="11" customWidth="1"/>
    <col min="4" max="4" width="12" customWidth="1"/>
    <col min="5" max="9" width="13" customWidth="1"/>
    <col min="10" max="10" width="13.6640625" customWidth="1"/>
    <col min="11" max="13" width="13" customWidth="1"/>
    <col min="14" max="14" width="9" customWidth="1"/>
    <col min="15" max="17" width="10" customWidth="1"/>
    <col min="18" max="18" width="11" customWidth="1"/>
    <col min="19" max="19" width="19.44140625" customWidth="1"/>
    <col min="20" max="20" width="12.109375" customWidth="1"/>
    <col min="21" max="21" width="21.77734375" customWidth="1"/>
    <col min="22" max="22" width="26.33203125" customWidth="1"/>
    <col min="23" max="23" width="20.6640625" customWidth="1"/>
    <col min="24" max="24" width="12" customWidth="1"/>
    <col min="25" max="25" width="20" customWidth="1"/>
    <col min="26" max="26" width="16.44140625" customWidth="1"/>
  </cols>
  <sheetData>
    <row r="1" spans="1:28" ht="30" customHeight="1" x14ac:dyDescent="0.3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8" ht="15.75" customHeight="1" x14ac:dyDescent="0.3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8" ht="19.5" customHeight="1" x14ac:dyDescent="0.3">
      <c r="A3" s="15"/>
      <c r="B3" s="12" t="s">
        <v>2</v>
      </c>
      <c r="C3" s="12"/>
      <c r="D3" s="12"/>
      <c r="E3" s="12"/>
      <c r="F3" s="12"/>
      <c r="G3" s="12"/>
      <c r="H3" s="12"/>
      <c r="I3" s="12"/>
      <c r="J3" s="17"/>
      <c r="K3" s="11"/>
      <c r="L3" s="11"/>
      <c r="M3" s="11"/>
      <c r="N3" s="17"/>
      <c r="O3" s="10"/>
      <c r="P3" s="10"/>
      <c r="Q3" s="10"/>
      <c r="R3" s="10"/>
      <c r="S3" s="18"/>
      <c r="T3" s="12" t="s">
        <v>3</v>
      </c>
      <c r="U3" s="12"/>
      <c r="V3" s="12"/>
      <c r="W3" s="12"/>
      <c r="X3" s="9"/>
      <c r="Y3" s="9"/>
      <c r="AA3" s="19" t="s">
        <v>4</v>
      </c>
    </row>
    <row r="4" spans="1:28" ht="51" customHeight="1" x14ac:dyDescent="0.3">
      <c r="A4" s="15"/>
      <c r="B4" s="20" t="s">
        <v>5</v>
      </c>
      <c r="C4" s="20" t="s">
        <v>6</v>
      </c>
      <c r="D4" s="20" t="s">
        <v>7</v>
      </c>
      <c r="E4" s="20" t="s">
        <v>8</v>
      </c>
      <c r="F4" s="20" t="s">
        <v>9</v>
      </c>
      <c r="G4" s="20" t="s">
        <v>10</v>
      </c>
      <c r="H4" s="21" t="s">
        <v>11</v>
      </c>
      <c r="I4" s="20" t="s">
        <v>12</v>
      </c>
      <c r="J4" s="20" t="s">
        <v>13</v>
      </c>
      <c r="K4" s="15"/>
      <c r="L4" s="22" t="s">
        <v>14</v>
      </c>
      <c r="M4" s="22" t="s">
        <v>15</v>
      </c>
      <c r="N4" s="22" t="s">
        <v>16</v>
      </c>
      <c r="P4" s="22" t="s">
        <v>17</v>
      </c>
      <c r="Q4" s="22" t="s">
        <v>18</v>
      </c>
      <c r="R4" s="22" t="s">
        <v>19</v>
      </c>
      <c r="S4" s="22" t="s">
        <v>20</v>
      </c>
      <c r="T4" s="20" t="s">
        <v>21</v>
      </c>
      <c r="U4" s="20" t="s">
        <v>22</v>
      </c>
      <c r="V4" s="20" t="s">
        <v>23</v>
      </c>
      <c r="W4" s="20" t="s">
        <v>24</v>
      </c>
      <c r="X4" s="15"/>
      <c r="Y4" s="23" t="s">
        <v>25</v>
      </c>
      <c r="Z4" s="23" t="s">
        <v>26</v>
      </c>
      <c r="AA4" s="24" t="s">
        <v>27</v>
      </c>
      <c r="AB4" s="24" t="s">
        <v>28</v>
      </c>
    </row>
    <row r="5" spans="1:28" ht="18" customHeight="1" x14ac:dyDescent="0.3">
      <c r="B5" s="25" t="s">
        <v>29</v>
      </c>
      <c r="C5" s="26">
        <v>27.95</v>
      </c>
      <c r="D5" s="27" t="s">
        <v>30</v>
      </c>
      <c r="E5" s="26">
        <v>24.55</v>
      </c>
      <c r="F5" s="26">
        <v>23.77</v>
      </c>
      <c r="G5" s="26">
        <v>23.1</v>
      </c>
      <c r="H5" t="s">
        <v>30</v>
      </c>
      <c r="I5" s="28">
        <f t="shared" ref="I5:I36" si="0">IF(C5="","-",IF(E5&lt;&gt;"",C5-E5,IF(F5&lt;&gt;"",C5-F5,IF(G5&lt;&gt;"",C5-G5,IF(H5&lt;&gt;"",C5-H5,"-")))))</f>
        <v>3.3999999999999986</v>
      </c>
      <c r="J5" s="28">
        <f t="shared" ref="J5:J36" si="1">IF(C5="","-",IF(E5&lt;&gt;"",IF(F5&lt;&gt;"",C5-F5,IF(G5&lt;&gt;"",C5-G5,IF(H5&lt;&gt;"",C5-H5,"-"))),IF(F5&lt;&gt;"",IF(G5&lt;&gt;"",C5-G5,IF(H5&lt;&gt;"",C5-H5,"-")),IF(G5&lt;&gt;"",IF(H5&lt;&gt;"",C5-H5,"-"),"-"))))</f>
        <v>4.18</v>
      </c>
      <c r="K5" s="15"/>
      <c r="L5" s="29">
        <v>83.12</v>
      </c>
      <c r="M5" s="27" t="s">
        <v>30</v>
      </c>
      <c r="N5" s="30" t="s">
        <v>30</v>
      </c>
      <c r="P5" s="31">
        <v>27.83</v>
      </c>
      <c r="Q5" s="29" t="s">
        <v>30</v>
      </c>
      <c r="R5" s="32" t="s">
        <v>30</v>
      </c>
      <c r="S5" s="29" t="str">
        <f t="shared" ref="S5:S36" si="2">IF(P5="","-",IF(P5&lt;20,"CALM",IF(P5&lt;40,"ELEVATED",IF(P5&lt;60,"STRESSED","CRISIS"))))</f>
        <v>ELEVATED</v>
      </c>
      <c r="T5" s="33" t="str">
        <f t="shared" ref="T5:T36" si="3">IF(C5="","-",IF(C5&lt;15,"EQUITY TREND",IF(C5&lt;25,"NORMAL",IF(C5&lt;35,"ELEVATED",IF(C5&lt;45,"HIGH STRESS","CRISIS")))))</f>
        <v>ELEVATED</v>
      </c>
      <c r="U5" s="33" t="str">
        <f t="shared" ref="U5:U36" si="4">IF(L5="","-",IF(L5&lt;90,"NORMAL",IF(L5&lt;120,"ELEVATED",IF(L5&lt;160,"HIGH STRESS","CRISIS"))))</f>
        <v>NORMAL</v>
      </c>
      <c r="V5" s="34" t="str">
        <f t="shared" ref="V5:V36" si="5">IF(OR(C5="",L5=""),"-",IF(AND(C5&lt;15,L5&lt;90),"✦ FULL DEPLOYMENT",IF(AND(C5&lt;25,L5&lt;120),"STANDARD OPS",IF(AND(C5&lt;35,L5&lt;160),"REDUCE / BUILD LIST",IF(AND(C5&lt;45,L5&lt;160),"QUALITY ONLY","MAX CASH / WAIT")))))</f>
        <v>REDUCE / BUILD LIST</v>
      </c>
      <c r="W5" s="33" t="str">
        <f t="shared" ref="W5:W36" si="6">IF(OR(C5="",L5=""),"-",IF(AND(C5&lt;15,L5&lt;90),"HOLD",IF(AND(C5&lt;25,L5&lt;120),"MONITOR",IF(AND(C5&gt;=25,C5&lt;35),"WAIT — DEFENSIVE",IF(C5&gt;=35,"STRONG BUY","HOLD")))))</f>
        <v>WAIT — DEFENSIVE</v>
      </c>
      <c r="X5" s="15"/>
      <c r="Y5" s="35">
        <f>IF(C5="","-",0)</f>
        <v>0</v>
      </c>
      <c r="Z5" s="36" t="str">
        <f t="shared" ref="Z5:Z36" si="7">IF(OR(C5="",L5="",P5=""),"-",IF(AND(C5&lt;25,L5&lt;95,P5&lt;30,Y5&gt;=3),"🟢 REVERSION WATCH",IF(AND(C5&lt;27,L5&lt;105,P5&lt;35,Y5&gt;=2),"🟡 APPROACHING","🔴 NOT YET")))</f>
        <v>🔴 NOT YET</v>
      </c>
      <c r="AA5" s="37"/>
      <c r="AB5" s="37"/>
    </row>
    <row r="6" spans="1:28" ht="18" customHeight="1" x14ac:dyDescent="0.3">
      <c r="B6" s="25" t="s">
        <v>31</v>
      </c>
      <c r="C6" s="26">
        <v>25.06</v>
      </c>
      <c r="D6" s="38">
        <f t="shared" ref="D6:D37" si="8">IF(OR(C6="",C5=""),"-",C6-C5)</f>
        <v>-2.8900000000000006</v>
      </c>
      <c r="E6" s="26">
        <v>23.75</v>
      </c>
      <c r="F6" s="26">
        <v>22.12</v>
      </c>
      <c r="G6" s="26">
        <v>21.97</v>
      </c>
      <c r="H6" t="s">
        <v>30</v>
      </c>
      <c r="I6" s="38">
        <f t="shared" si="0"/>
        <v>1.3099999999999987</v>
      </c>
      <c r="J6" s="38">
        <f t="shared" si="1"/>
        <v>2.9399999999999977</v>
      </c>
      <c r="K6" s="15"/>
      <c r="L6" s="29">
        <v>80.45</v>
      </c>
      <c r="M6" s="38">
        <f t="shared" ref="M6:M37" si="9">IF(OR(L6="",L5=""),"-",L6-L5)</f>
        <v>-2.6700000000000017</v>
      </c>
      <c r="N6" s="39">
        <f t="shared" ref="N6:N37" si="10">IF(OR(L6="",L5=""),"-",(L6-L5)/L5)</f>
        <v>-3.2122232916265661E-2</v>
      </c>
      <c r="P6" s="31">
        <v>28.97</v>
      </c>
      <c r="Q6" s="29">
        <f t="shared" ref="Q6:Q37" si="11">IF(OR(P6="",P5=""),"-",P6-P5)</f>
        <v>1.1400000000000006</v>
      </c>
      <c r="R6" s="32">
        <f t="shared" ref="R6:R37" si="12">IF(OR(P6="",P5=""),"-",(P6-P5)/P5)</f>
        <v>4.0962989579590395E-2</v>
      </c>
      <c r="S6" s="29" t="str">
        <f t="shared" si="2"/>
        <v>ELEVATED</v>
      </c>
      <c r="T6" s="40" t="str">
        <f t="shared" si="3"/>
        <v>ELEVATED</v>
      </c>
      <c r="U6" s="40" t="str">
        <f t="shared" si="4"/>
        <v>NORMAL</v>
      </c>
      <c r="V6" s="41" t="str">
        <f t="shared" si="5"/>
        <v>REDUCE / BUILD LIST</v>
      </c>
      <c r="W6" s="40" t="str">
        <f t="shared" si="6"/>
        <v>WAIT — DEFENSIVE</v>
      </c>
      <c r="X6" s="15"/>
      <c r="Y6" s="35">
        <f t="shared" ref="Y6:Y37" si="13">IF(C6="","-",IF(C6&lt;C5,IF(Y5="-",1,Y5+1),0))</f>
        <v>1</v>
      </c>
      <c r="Z6" s="36" t="str">
        <f t="shared" si="7"/>
        <v>🔴 NOT YET</v>
      </c>
      <c r="AA6" s="37"/>
      <c r="AB6" s="37"/>
    </row>
    <row r="7" spans="1:28" ht="18" customHeight="1" x14ac:dyDescent="0.3">
      <c r="B7" s="25" t="s">
        <v>32</v>
      </c>
      <c r="C7" s="26">
        <v>24.23</v>
      </c>
      <c r="D7" s="28">
        <f t="shared" si="8"/>
        <v>-0.82999999999999829</v>
      </c>
      <c r="E7" s="26">
        <v>23.05</v>
      </c>
      <c r="F7" s="26">
        <v>22.95</v>
      </c>
      <c r="G7" s="26">
        <v>22.99</v>
      </c>
      <c r="H7" t="s">
        <v>30</v>
      </c>
      <c r="I7" s="28">
        <f t="shared" si="0"/>
        <v>1.1799999999999997</v>
      </c>
      <c r="J7" s="28">
        <f t="shared" si="1"/>
        <v>1.2800000000000011</v>
      </c>
      <c r="K7" s="15"/>
      <c r="L7" s="29">
        <v>78.59</v>
      </c>
      <c r="M7" s="28">
        <f t="shared" si="9"/>
        <v>-1.8599999999999994</v>
      </c>
      <c r="N7" s="42">
        <f t="shared" si="10"/>
        <v>-2.311995027967681E-2</v>
      </c>
      <c r="P7" s="31">
        <v>29.18</v>
      </c>
      <c r="Q7" s="29">
        <f t="shared" si="11"/>
        <v>0.21000000000000085</v>
      </c>
      <c r="R7" s="32">
        <f t="shared" si="12"/>
        <v>7.2488781498101784E-3</v>
      </c>
      <c r="S7" s="29" t="str">
        <f t="shared" si="2"/>
        <v>ELEVATED</v>
      </c>
      <c r="T7" s="33" t="str">
        <f t="shared" si="3"/>
        <v>NORMAL</v>
      </c>
      <c r="U7" s="33" t="str">
        <f t="shared" si="4"/>
        <v>NORMAL</v>
      </c>
      <c r="V7" s="34" t="str">
        <f t="shared" si="5"/>
        <v>STANDARD OPS</v>
      </c>
      <c r="W7" s="33" t="str">
        <f t="shared" si="6"/>
        <v>MONITOR</v>
      </c>
      <c r="X7" s="15"/>
      <c r="Y7" s="35">
        <f t="shared" si="13"/>
        <v>2</v>
      </c>
      <c r="Z7" s="36" t="str">
        <f t="shared" si="7"/>
        <v>🟡 APPROACHING</v>
      </c>
      <c r="AA7" s="37"/>
      <c r="AB7" s="37"/>
    </row>
    <row r="8" spans="1:28" ht="18" customHeight="1" x14ac:dyDescent="0.3">
      <c r="B8" s="25" t="s">
        <v>33</v>
      </c>
      <c r="C8" s="26">
        <v>25.89</v>
      </c>
      <c r="D8" s="38">
        <f t="shared" si="8"/>
        <v>1.6600000000000001</v>
      </c>
      <c r="E8" s="26">
        <v>23.75</v>
      </c>
      <c r="F8" s="26">
        <v>23.53</v>
      </c>
      <c r="G8" s="26">
        <v>23.42</v>
      </c>
      <c r="H8" t="s">
        <v>30</v>
      </c>
      <c r="I8" s="38">
        <f t="shared" si="0"/>
        <v>2.1400000000000006</v>
      </c>
      <c r="J8" s="38">
        <f t="shared" si="1"/>
        <v>2.3599999999999994</v>
      </c>
      <c r="K8" s="15"/>
      <c r="L8" s="29">
        <v>95.3</v>
      </c>
      <c r="M8" s="38">
        <f t="shared" si="9"/>
        <v>16.709999999999994</v>
      </c>
      <c r="N8" s="39">
        <f t="shared" si="10"/>
        <v>0.21262247105229665</v>
      </c>
      <c r="P8" s="31">
        <v>35.520000000000003</v>
      </c>
      <c r="Q8" s="29">
        <f t="shared" si="11"/>
        <v>6.3400000000000034</v>
      </c>
      <c r="R8" s="32">
        <f t="shared" si="12"/>
        <v>0.21727210418094597</v>
      </c>
      <c r="S8" s="29" t="str">
        <f t="shared" si="2"/>
        <v>ELEVATED</v>
      </c>
      <c r="T8" s="40" t="str">
        <f t="shared" si="3"/>
        <v>ELEVATED</v>
      </c>
      <c r="U8" s="40" t="str">
        <f t="shared" si="4"/>
        <v>ELEVATED</v>
      </c>
      <c r="V8" s="41" t="str">
        <f t="shared" si="5"/>
        <v>REDUCE / BUILD LIST</v>
      </c>
      <c r="W8" s="40" t="str">
        <f t="shared" si="6"/>
        <v>WAIT — DEFENSIVE</v>
      </c>
      <c r="X8" s="15"/>
      <c r="Y8" s="35">
        <f t="shared" si="13"/>
        <v>0</v>
      </c>
      <c r="Z8" s="36" t="str">
        <f t="shared" si="7"/>
        <v>🔴 NOT YET</v>
      </c>
      <c r="AA8" s="37"/>
      <c r="AB8" s="37"/>
    </row>
    <row r="9" spans="1:28" ht="18" customHeight="1" x14ac:dyDescent="0.3">
      <c r="B9" s="43">
        <v>46094</v>
      </c>
      <c r="C9" s="44">
        <v>27.19</v>
      </c>
      <c r="D9" s="28">
        <f t="shared" si="8"/>
        <v>1.3000000000000007</v>
      </c>
      <c r="E9" s="44">
        <v>24.92</v>
      </c>
      <c r="F9" s="44">
        <v>24.2</v>
      </c>
      <c r="G9" s="44">
        <v>21.55</v>
      </c>
      <c r="H9" t="s">
        <v>30</v>
      </c>
      <c r="I9" s="28">
        <f t="shared" si="0"/>
        <v>2.2699999999999996</v>
      </c>
      <c r="J9" s="28">
        <f t="shared" si="1"/>
        <v>2.990000000000002</v>
      </c>
      <c r="K9" s="15"/>
      <c r="L9" s="44">
        <v>91.17</v>
      </c>
      <c r="M9" s="28">
        <f t="shared" si="9"/>
        <v>-4.1299999999999955</v>
      </c>
      <c r="N9" s="42">
        <f t="shared" si="10"/>
        <v>-4.3336831059811079E-2</v>
      </c>
      <c r="P9" s="31">
        <v>37.21</v>
      </c>
      <c r="Q9" s="29">
        <f t="shared" si="11"/>
        <v>1.6899999999999977</v>
      </c>
      <c r="R9" s="32">
        <f t="shared" si="12"/>
        <v>4.7578828828828759E-2</v>
      </c>
      <c r="S9" s="29" t="str">
        <f t="shared" si="2"/>
        <v>ELEVATED</v>
      </c>
      <c r="T9" s="33" t="str">
        <f t="shared" si="3"/>
        <v>ELEVATED</v>
      </c>
      <c r="U9" s="33" t="str">
        <f t="shared" si="4"/>
        <v>ELEVATED</v>
      </c>
      <c r="V9" s="34" t="str">
        <f t="shared" si="5"/>
        <v>REDUCE / BUILD LIST</v>
      </c>
      <c r="W9" s="33" t="str">
        <f t="shared" si="6"/>
        <v>WAIT — DEFENSIVE</v>
      </c>
      <c r="X9" s="15"/>
      <c r="Y9" s="35">
        <f t="shared" si="13"/>
        <v>0</v>
      </c>
      <c r="Z9" s="36" t="str">
        <f t="shared" si="7"/>
        <v>🔴 NOT YET</v>
      </c>
      <c r="AA9" s="37"/>
      <c r="AB9" s="37"/>
    </row>
    <row r="10" spans="1:28" ht="18" customHeight="1" x14ac:dyDescent="0.3">
      <c r="B10" s="45">
        <v>46097</v>
      </c>
      <c r="C10" s="46">
        <v>23.55</v>
      </c>
      <c r="D10" s="38">
        <f t="shared" si="8"/>
        <v>-3.6400000000000006</v>
      </c>
      <c r="E10" s="46">
        <v>23</v>
      </c>
      <c r="F10" s="46">
        <v>22.86</v>
      </c>
      <c r="G10" s="46">
        <v>22.88</v>
      </c>
      <c r="H10" t="s">
        <v>30</v>
      </c>
      <c r="I10" s="38">
        <f t="shared" si="0"/>
        <v>0.55000000000000071</v>
      </c>
      <c r="J10" s="38">
        <f t="shared" si="1"/>
        <v>0.69000000000000128</v>
      </c>
      <c r="K10" s="15"/>
      <c r="L10" s="46">
        <v>85.25</v>
      </c>
      <c r="M10" s="38">
        <f t="shared" si="9"/>
        <v>-5.9200000000000017</v>
      </c>
      <c r="N10" s="39">
        <f t="shared" si="10"/>
        <v>-6.4933640451903057E-2</v>
      </c>
      <c r="P10" s="31">
        <v>29.56</v>
      </c>
      <c r="Q10" s="29">
        <f t="shared" si="11"/>
        <v>-7.6500000000000021</v>
      </c>
      <c r="R10" s="32">
        <f t="shared" si="12"/>
        <v>-0.20558989518946524</v>
      </c>
      <c r="S10" s="29" t="str">
        <f t="shared" si="2"/>
        <v>ELEVATED</v>
      </c>
      <c r="T10" s="40" t="str">
        <f t="shared" si="3"/>
        <v>NORMAL</v>
      </c>
      <c r="U10" s="40" t="str">
        <f t="shared" si="4"/>
        <v>NORMAL</v>
      </c>
      <c r="V10" s="41" t="str">
        <f t="shared" si="5"/>
        <v>STANDARD OPS</v>
      </c>
      <c r="W10" s="40" t="str">
        <f t="shared" si="6"/>
        <v>MONITOR</v>
      </c>
      <c r="X10" s="15"/>
      <c r="Y10" s="35">
        <f t="shared" si="13"/>
        <v>1</v>
      </c>
      <c r="Z10" s="36" t="str">
        <f t="shared" si="7"/>
        <v>🔴 NOT YET</v>
      </c>
      <c r="AA10" s="37"/>
      <c r="AB10" s="37"/>
    </row>
    <row r="11" spans="1:28" ht="18" customHeight="1" x14ac:dyDescent="0.3">
      <c r="B11" s="43">
        <v>46098</v>
      </c>
      <c r="C11" s="44">
        <v>22.37</v>
      </c>
      <c r="D11" s="28">
        <f t="shared" si="8"/>
        <v>-1.1799999999999997</v>
      </c>
      <c r="E11" s="44">
        <v>22.8</v>
      </c>
      <c r="F11" s="44">
        <v>22.7</v>
      </c>
      <c r="G11" s="44">
        <v>22.85</v>
      </c>
      <c r="H11" t="s">
        <v>30</v>
      </c>
      <c r="I11" s="28">
        <f t="shared" si="0"/>
        <v>-0.42999999999999972</v>
      </c>
      <c r="J11" s="28">
        <f t="shared" si="1"/>
        <v>-0.32999999999999829</v>
      </c>
      <c r="K11" s="15"/>
      <c r="L11" s="44">
        <v>79.23</v>
      </c>
      <c r="M11" s="28">
        <f t="shared" si="9"/>
        <v>-6.019999999999996</v>
      </c>
      <c r="N11" s="42">
        <f t="shared" si="10"/>
        <v>-7.061583577712606E-2</v>
      </c>
      <c r="P11" s="31">
        <v>29.5</v>
      </c>
      <c r="Q11" s="29">
        <f t="shared" si="11"/>
        <v>-5.9999999999998721E-2</v>
      </c>
      <c r="R11" s="32">
        <f t="shared" si="12"/>
        <v>-2.0297699594045578E-3</v>
      </c>
      <c r="S11" s="29" t="str">
        <f t="shared" si="2"/>
        <v>ELEVATED</v>
      </c>
      <c r="T11" s="33" t="str">
        <f t="shared" si="3"/>
        <v>NORMAL</v>
      </c>
      <c r="U11" s="33" t="str">
        <f t="shared" si="4"/>
        <v>NORMAL</v>
      </c>
      <c r="V11" s="34" t="str">
        <f t="shared" si="5"/>
        <v>STANDARD OPS</v>
      </c>
      <c r="W11" s="33" t="str">
        <f t="shared" si="6"/>
        <v>MONITOR</v>
      </c>
      <c r="X11" s="15"/>
      <c r="Y11" s="35">
        <f t="shared" si="13"/>
        <v>2</v>
      </c>
      <c r="Z11" s="36" t="str">
        <f t="shared" si="7"/>
        <v>🟡 APPROACHING</v>
      </c>
      <c r="AA11" s="37"/>
      <c r="AB11" s="37"/>
    </row>
    <row r="12" spans="1:28" ht="18" customHeight="1" x14ac:dyDescent="0.3">
      <c r="B12" s="45">
        <v>46099</v>
      </c>
      <c r="C12" s="46">
        <v>27.5</v>
      </c>
      <c r="D12" s="38">
        <f t="shared" si="8"/>
        <v>5.129999999999999</v>
      </c>
      <c r="E12" s="46">
        <v>21.5</v>
      </c>
      <c r="F12" s="46">
        <v>25.19</v>
      </c>
      <c r="G12" s="46">
        <v>24.66</v>
      </c>
      <c r="H12" t="s">
        <v>30</v>
      </c>
      <c r="I12" s="38">
        <f t="shared" si="0"/>
        <v>6</v>
      </c>
      <c r="J12" s="38">
        <f t="shared" si="1"/>
        <v>2.3099999999999987</v>
      </c>
      <c r="K12" s="15"/>
      <c r="L12" s="46">
        <v>81.25</v>
      </c>
      <c r="M12" s="38">
        <f t="shared" si="9"/>
        <v>2.019999999999996</v>
      </c>
      <c r="N12" s="39">
        <f t="shared" si="10"/>
        <v>2.5495393159156835E-2</v>
      </c>
      <c r="P12" s="31">
        <v>35.78</v>
      </c>
      <c r="Q12" s="29">
        <f t="shared" si="11"/>
        <v>6.2800000000000011</v>
      </c>
      <c r="R12" s="32">
        <f t="shared" si="12"/>
        <v>0.21288135593220342</v>
      </c>
      <c r="S12" s="29" t="str">
        <f t="shared" si="2"/>
        <v>ELEVATED</v>
      </c>
      <c r="T12" s="40" t="str">
        <f t="shared" si="3"/>
        <v>ELEVATED</v>
      </c>
      <c r="U12" s="40" t="str">
        <f t="shared" si="4"/>
        <v>NORMAL</v>
      </c>
      <c r="V12" s="41" t="str">
        <f t="shared" si="5"/>
        <v>REDUCE / BUILD LIST</v>
      </c>
      <c r="W12" s="40" t="str">
        <f t="shared" si="6"/>
        <v>WAIT — DEFENSIVE</v>
      </c>
      <c r="X12" s="15"/>
      <c r="Y12" s="35">
        <f t="shared" si="13"/>
        <v>0</v>
      </c>
      <c r="Z12" s="36" t="str">
        <f t="shared" si="7"/>
        <v>🔴 NOT YET</v>
      </c>
      <c r="AA12" s="37"/>
      <c r="AB12" s="37"/>
    </row>
    <row r="13" spans="1:28" ht="18" customHeight="1" x14ac:dyDescent="0.3">
      <c r="B13" s="43">
        <v>46100</v>
      </c>
      <c r="C13" s="44">
        <v>24.06</v>
      </c>
      <c r="D13" s="28">
        <f t="shared" si="8"/>
        <v>-3.4400000000000013</v>
      </c>
      <c r="E13" s="44">
        <v>23.85</v>
      </c>
      <c r="F13" s="44">
        <v>23.5</v>
      </c>
      <c r="G13" s="44">
        <v>21.55</v>
      </c>
      <c r="H13" t="s">
        <v>30</v>
      </c>
      <c r="I13" s="28">
        <f t="shared" si="0"/>
        <v>0.2099999999999973</v>
      </c>
      <c r="J13" s="28">
        <f t="shared" si="1"/>
        <v>0.55999999999999872</v>
      </c>
      <c r="K13" s="15"/>
      <c r="L13" s="44">
        <v>84.88</v>
      </c>
      <c r="M13" s="28">
        <f t="shared" si="9"/>
        <v>3.6299999999999955</v>
      </c>
      <c r="N13" s="42">
        <f t="shared" si="10"/>
        <v>4.4676923076923024E-2</v>
      </c>
      <c r="P13" s="31">
        <v>33.03</v>
      </c>
      <c r="Q13" s="29">
        <f t="shared" si="11"/>
        <v>-2.75</v>
      </c>
      <c r="R13" s="32">
        <f t="shared" si="12"/>
        <v>-7.6858580212409169E-2</v>
      </c>
      <c r="S13" s="29" t="str">
        <f t="shared" si="2"/>
        <v>ELEVATED</v>
      </c>
      <c r="T13" s="33" t="str">
        <f t="shared" si="3"/>
        <v>NORMAL</v>
      </c>
      <c r="U13" s="33" t="str">
        <f t="shared" si="4"/>
        <v>NORMAL</v>
      </c>
      <c r="V13" s="34" t="str">
        <f t="shared" si="5"/>
        <v>STANDARD OPS</v>
      </c>
      <c r="W13" s="33" t="str">
        <f t="shared" si="6"/>
        <v>MONITOR</v>
      </c>
      <c r="X13" s="15"/>
      <c r="Y13" s="35">
        <f t="shared" si="13"/>
        <v>1</v>
      </c>
      <c r="Z13" s="36" t="str">
        <f t="shared" si="7"/>
        <v>🔴 NOT YET</v>
      </c>
      <c r="AA13" s="37"/>
      <c r="AB13" s="37"/>
    </row>
    <row r="14" spans="1:28" ht="18" customHeight="1" x14ac:dyDescent="0.3">
      <c r="B14" s="45">
        <v>46101</v>
      </c>
      <c r="C14" s="46">
        <v>26.78</v>
      </c>
      <c r="D14" s="38">
        <f t="shared" si="8"/>
        <v>2.7200000000000024</v>
      </c>
      <c r="E14" s="46">
        <v>25.2</v>
      </c>
      <c r="F14" s="46">
        <v>24.35</v>
      </c>
      <c r="G14" s="46">
        <v>24.08</v>
      </c>
      <c r="H14" t="s">
        <v>30</v>
      </c>
      <c r="I14" s="38">
        <f t="shared" si="0"/>
        <v>1.5800000000000018</v>
      </c>
      <c r="J14" s="38">
        <f t="shared" si="1"/>
        <v>2.4299999999999997</v>
      </c>
      <c r="K14" s="15"/>
      <c r="L14" s="46">
        <v>108.84</v>
      </c>
      <c r="M14" s="38">
        <f t="shared" si="9"/>
        <v>23.960000000000008</v>
      </c>
      <c r="N14" s="39">
        <f t="shared" si="10"/>
        <v>0.28228086710650341</v>
      </c>
      <c r="P14" s="31">
        <v>38.700000000000003</v>
      </c>
      <c r="Q14" s="29">
        <f t="shared" si="11"/>
        <v>5.6700000000000017</v>
      </c>
      <c r="R14" s="32">
        <f t="shared" si="12"/>
        <v>0.17166212534059949</v>
      </c>
      <c r="S14" s="29" t="str">
        <f t="shared" si="2"/>
        <v>ELEVATED</v>
      </c>
      <c r="T14" s="40" t="str">
        <f t="shared" si="3"/>
        <v>ELEVATED</v>
      </c>
      <c r="U14" s="40" t="str">
        <f t="shared" si="4"/>
        <v>ELEVATED</v>
      </c>
      <c r="V14" s="41" t="str">
        <f t="shared" si="5"/>
        <v>REDUCE / BUILD LIST</v>
      </c>
      <c r="W14" s="40" t="str">
        <f t="shared" si="6"/>
        <v>WAIT — DEFENSIVE</v>
      </c>
      <c r="X14" s="15"/>
      <c r="Y14" s="35">
        <f t="shared" si="13"/>
        <v>0</v>
      </c>
      <c r="Z14" s="36" t="str">
        <f t="shared" si="7"/>
        <v>🔴 NOT YET</v>
      </c>
      <c r="AA14" s="37"/>
      <c r="AB14" s="37"/>
    </row>
    <row r="15" spans="1:28" ht="18" customHeight="1" x14ac:dyDescent="0.3">
      <c r="B15" s="43">
        <v>46104</v>
      </c>
      <c r="C15" s="44">
        <v>26.15</v>
      </c>
      <c r="D15" s="28">
        <f t="shared" si="8"/>
        <v>-0.63000000000000256</v>
      </c>
      <c r="E15" s="44">
        <v>24.25</v>
      </c>
      <c r="F15" s="44">
        <v>23.55</v>
      </c>
      <c r="G15" s="44">
        <v>23.4</v>
      </c>
      <c r="H15" t="s">
        <v>30</v>
      </c>
      <c r="I15" s="28">
        <f t="shared" si="0"/>
        <v>1.8999999999999986</v>
      </c>
      <c r="J15" s="28">
        <f t="shared" si="1"/>
        <v>2.5999999999999979</v>
      </c>
      <c r="K15" s="15"/>
      <c r="L15" s="44">
        <v>98.15</v>
      </c>
      <c r="M15" s="28">
        <f t="shared" si="9"/>
        <v>-10.689999999999998</v>
      </c>
      <c r="N15" s="42">
        <f t="shared" si="10"/>
        <v>-9.8217567070929782E-2</v>
      </c>
      <c r="P15" s="31">
        <v>37.61</v>
      </c>
      <c r="Q15" s="29">
        <f t="shared" si="11"/>
        <v>-1.0900000000000034</v>
      </c>
      <c r="R15" s="32">
        <f t="shared" si="12"/>
        <v>-2.8165374677002669E-2</v>
      </c>
      <c r="S15" s="29" t="str">
        <f t="shared" si="2"/>
        <v>ELEVATED</v>
      </c>
      <c r="T15" s="33" t="str">
        <f t="shared" si="3"/>
        <v>ELEVATED</v>
      </c>
      <c r="U15" s="33" t="str">
        <f t="shared" si="4"/>
        <v>ELEVATED</v>
      </c>
      <c r="V15" s="34" t="str">
        <f t="shared" si="5"/>
        <v>REDUCE / BUILD LIST</v>
      </c>
      <c r="W15" s="33" t="str">
        <f t="shared" si="6"/>
        <v>WAIT — DEFENSIVE</v>
      </c>
      <c r="X15" s="15"/>
      <c r="Y15" s="35">
        <f t="shared" si="13"/>
        <v>1</v>
      </c>
      <c r="Z15" s="36" t="str">
        <f t="shared" si="7"/>
        <v>🔴 NOT YET</v>
      </c>
      <c r="AA15" s="37"/>
      <c r="AB15" s="37"/>
    </row>
    <row r="16" spans="1:28" ht="18" customHeight="1" x14ac:dyDescent="0.3">
      <c r="B16" s="45">
        <v>46105</v>
      </c>
      <c r="C16" s="46">
        <v>26.86</v>
      </c>
      <c r="D16" s="38">
        <f t="shared" si="8"/>
        <v>0.71000000000000085</v>
      </c>
      <c r="E16" s="46">
        <v>24.95</v>
      </c>
      <c r="F16" s="46">
        <v>24.15</v>
      </c>
      <c r="G16" s="46">
        <v>23.82</v>
      </c>
      <c r="H16" t="s">
        <v>30</v>
      </c>
      <c r="I16" s="38">
        <f t="shared" si="0"/>
        <v>1.9100000000000001</v>
      </c>
      <c r="J16" s="38">
        <f t="shared" si="1"/>
        <v>2.7100000000000009</v>
      </c>
      <c r="K16" s="15"/>
      <c r="L16" s="46">
        <v>103.01</v>
      </c>
      <c r="M16" s="38">
        <f t="shared" si="9"/>
        <v>4.8599999999999994</v>
      </c>
      <c r="N16" s="39">
        <f t="shared" si="10"/>
        <v>4.9516046867040239E-2</v>
      </c>
      <c r="P16" s="31">
        <v>37.49</v>
      </c>
      <c r="Q16" s="29">
        <f t="shared" si="11"/>
        <v>-0.11999999999999744</v>
      </c>
      <c r="R16" s="32">
        <f t="shared" si="12"/>
        <v>-3.1906407870246596E-3</v>
      </c>
      <c r="S16" s="29" t="str">
        <f t="shared" si="2"/>
        <v>ELEVATED</v>
      </c>
      <c r="T16" s="40" t="str">
        <f t="shared" si="3"/>
        <v>ELEVATED</v>
      </c>
      <c r="U16" s="40" t="str">
        <f t="shared" si="4"/>
        <v>ELEVATED</v>
      </c>
      <c r="V16" s="41" t="str">
        <f t="shared" si="5"/>
        <v>REDUCE / BUILD LIST</v>
      </c>
      <c r="W16" s="40" t="str">
        <f t="shared" si="6"/>
        <v>WAIT — DEFENSIVE</v>
      </c>
      <c r="X16" s="15"/>
      <c r="Y16" s="35">
        <f t="shared" si="13"/>
        <v>0</v>
      </c>
      <c r="Z16" s="36" t="str">
        <f t="shared" si="7"/>
        <v>🔴 NOT YET</v>
      </c>
      <c r="AA16" s="37"/>
      <c r="AB16" s="37"/>
    </row>
    <row r="17" spans="2:28" ht="18" customHeight="1" x14ac:dyDescent="0.3">
      <c r="B17" s="43">
        <v>46106</v>
      </c>
      <c r="C17" s="44">
        <v>25.33</v>
      </c>
      <c r="D17" s="28">
        <f t="shared" si="8"/>
        <v>-1.5300000000000011</v>
      </c>
      <c r="E17" s="44">
        <v>24.3</v>
      </c>
      <c r="F17" s="44">
        <v>23.75</v>
      </c>
      <c r="G17" s="44">
        <v>23.54</v>
      </c>
      <c r="H17" t="s">
        <v>30</v>
      </c>
      <c r="I17" s="28">
        <f t="shared" si="0"/>
        <v>1.0299999999999976</v>
      </c>
      <c r="J17" s="28">
        <f t="shared" si="1"/>
        <v>1.5799999999999983</v>
      </c>
      <c r="K17" s="15"/>
      <c r="L17" s="44">
        <v>97.59</v>
      </c>
      <c r="M17" s="28">
        <f t="shared" si="9"/>
        <v>-5.4200000000000017</v>
      </c>
      <c r="N17" s="42">
        <f t="shared" si="10"/>
        <v>-5.2616250849432111E-2</v>
      </c>
      <c r="P17" s="31">
        <v>34.76</v>
      </c>
      <c r="Q17" s="29">
        <f t="shared" si="11"/>
        <v>-2.730000000000004</v>
      </c>
      <c r="R17" s="32">
        <f t="shared" si="12"/>
        <v>-7.2819418511603201E-2</v>
      </c>
      <c r="S17" s="29" t="str">
        <f t="shared" si="2"/>
        <v>ELEVATED</v>
      </c>
      <c r="T17" s="33" t="str">
        <f t="shared" si="3"/>
        <v>ELEVATED</v>
      </c>
      <c r="U17" s="33" t="str">
        <f t="shared" si="4"/>
        <v>ELEVATED</v>
      </c>
      <c r="V17" s="34" t="str">
        <f t="shared" si="5"/>
        <v>REDUCE / BUILD LIST</v>
      </c>
      <c r="W17" s="33" t="str">
        <f t="shared" si="6"/>
        <v>WAIT — DEFENSIVE</v>
      </c>
      <c r="X17" s="15"/>
      <c r="Y17" s="35">
        <f t="shared" si="13"/>
        <v>1</v>
      </c>
      <c r="Z17" s="36" t="str">
        <f t="shared" si="7"/>
        <v>🔴 NOT YET</v>
      </c>
      <c r="AA17" s="37"/>
      <c r="AB17" s="37"/>
    </row>
    <row r="18" spans="2:28" ht="18" customHeight="1" x14ac:dyDescent="0.3">
      <c r="B18" s="45">
        <v>46107</v>
      </c>
      <c r="C18" s="46">
        <v>27.44</v>
      </c>
      <c r="D18" s="38">
        <f t="shared" si="8"/>
        <v>2.110000000000003</v>
      </c>
      <c r="E18" s="46">
        <v>25.83</v>
      </c>
      <c r="F18" s="46">
        <v>24.75</v>
      </c>
      <c r="G18" s="46">
        <v>24.29</v>
      </c>
      <c r="H18" t="s">
        <v>30</v>
      </c>
      <c r="I18" s="38">
        <f t="shared" si="0"/>
        <v>1.610000000000003</v>
      </c>
      <c r="J18" s="38">
        <f t="shared" si="1"/>
        <v>2.6900000000000013</v>
      </c>
      <c r="K18" s="15"/>
      <c r="L18" s="46">
        <v>115.02</v>
      </c>
      <c r="M18" s="38">
        <f t="shared" si="9"/>
        <v>17.429999999999993</v>
      </c>
      <c r="N18" s="39">
        <f t="shared" si="10"/>
        <v>0.17860436520135251</v>
      </c>
      <c r="P18" s="31">
        <v>36.19</v>
      </c>
      <c r="Q18" s="29">
        <f t="shared" si="11"/>
        <v>1.4299999999999997</v>
      </c>
      <c r="R18" s="32">
        <f t="shared" si="12"/>
        <v>4.1139240506329111E-2</v>
      </c>
      <c r="S18" s="29" t="str">
        <f t="shared" si="2"/>
        <v>ELEVATED</v>
      </c>
      <c r="T18" s="40" t="str">
        <f t="shared" si="3"/>
        <v>ELEVATED</v>
      </c>
      <c r="U18" s="40" t="str">
        <f t="shared" si="4"/>
        <v>ELEVATED</v>
      </c>
      <c r="V18" s="41" t="str">
        <f t="shared" si="5"/>
        <v>REDUCE / BUILD LIST</v>
      </c>
      <c r="W18" s="40" t="str">
        <f t="shared" si="6"/>
        <v>WAIT — DEFENSIVE</v>
      </c>
      <c r="X18" s="15"/>
      <c r="Y18" s="35">
        <f t="shared" si="13"/>
        <v>0</v>
      </c>
      <c r="Z18" s="36" t="str">
        <f t="shared" si="7"/>
        <v>🔴 NOT YET</v>
      </c>
      <c r="AA18" s="37"/>
      <c r="AB18" s="37"/>
    </row>
    <row r="19" spans="2:28" ht="18" customHeight="1" x14ac:dyDescent="0.3">
      <c r="B19" s="43">
        <v>46108</v>
      </c>
      <c r="C19" s="44">
        <v>31.05</v>
      </c>
      <c r="D19" s="28">
        <f t="shared" si="8"/>
        <v>3.6099999999999994</v>
      </c>
      <c r="E19" s="44">
        <v>28.53</v>
      </c>
      <c r="F19" s="44">
        <v>26.52</v>
      </c>
      <c r="G19" s="44">
        <v>25.65</v>
      </c>
      <c r="H19" t="s">
        <v>30</v>
      </c>
      <c r="I19" s="28">
        <f t="shared" si="0"/>
        <v>2.5199999999999996</v>
      </c>
      <c r="J19" s="28">
        <f t="shared" si="1"/>
        <v>4.5300000000000011</v>
      </c>
      <c r="K19" s="15"/>
      <c r="L19" s="44">
        <v>111.95</v>
      </c>
      <c r="M19" s="28">
        <f t="shared" si="9"/>
        <v>-3.0699999999999932</v>
      </c>
      <c r="N19" s="42">
        <f t="shared" si="10"/>
        <v>-2.6691010259085317E-2</v>
      </c>
      <c r="P19" s="31">
        <v>41.87</v>
      </c>
      <c r="Q19" s="29">
        <f t="shared" si="11"/>
        <v>5.68</v>
      </c>
      <c r="R19" s="32">
        <f t="shared" si="12"/>
        <v>0.15694943354517824</v>
      </c>
      <c r="S19" s="29" t="str">
        <f t="shared" si="2"/>
        <v>STRESSED</v>
      </c>
      <c r="T19" s="33" t="str">
        <f t="shared" si="3"/>
        <v>ELEVATED</v>
      </c>
      <c r="U19" s="33" t="str">
        <f t="shared" si="4"/>
        <v>ELEVATED</v>
      </c>
      <c r="V19" s="34" t="str">
        <f t="shared" si="5"/>
        <v>REDUCE / BUILD LIST</v>
      </c>
      <c r="W19" s="33" t="str">
        <f t="shared" si="6"/>
        <v>WAIT — DEFENSIVE</v>
      </c>
      <c r="X19" s="15"/>
      <c r="Y19" s="35">
        <f t="shared" si="13"/>
        <v>0</v>
      </c>
      <c r="Z19" s="36" t="str">
        <f t="shared" si="7"/>
        <v>🔴 NOT YET</v>
      </c>
      <c r="AA19" s="37"/>
      <c r="AB19" s="37"/>
    </row>
    <row r="20" spans="2:28" ht="18" customHeight="1" x14ac:dyDescent="0.3">
      <c r="B20" s="45">
        <v>46111</v>
      </c>
      <c r="C20" s="46">
        <v>30.62</v>
      </c>
      <c r="D20" s="38">
        <f t="shared" si="8"/>
        <v>-0.42999999999999972</v>
      </c>
      <c r="E20" s="46">
        <v>28.45</v>
      </c>
      <c r="F20" s="46">
        <v>26.55</v>
      </c>
      <c r="G20" s="46">
        <v>25.75</v>
      </c>
      <c r="H20" t="s">
        <v>30</v>
      </c>
      <c r="I20" s="38">
        <f t="shared" si="0"/>
        <v>2.1700000000000017</v>
      </c>
      <c r="J20" s="38">
        <f t="shared" si="1"/>
        <v>4.07</v>
      </c>
      <c r="K20" s="15"/>
      <c r="L20" s="46">
        <v>108.33</v>
      </c>
      <c r="M20" s="38">
        <f t="shared" si="9"/>
        <v>-3.6200000000000045</v>
      </c>
      <c r="N20" s="39">
        <f t="shared" si="10"/>
        <v>-3.2335864225100534E-2</v>
      </c>
      <c r="P20" s="31">
        <v>37.61</v>
      </c>
      <c r="Q20" s="29">
        <f t="shared" si="11"/>
        <v>-4.259999999999998</v>
      </c>
      <c r="R20" s="32">
        <f t="shared" si="12"/>
        <v>-0.10174349176021014</v>
      </c>
      <c r="S20" s="29" t="str">
        <f t="shared" si="2"/>
        <v>ELEVATED</v>
      </c>
      <c r="T20" s="40" t="str">
        <f t="shared" si="3"/>
        <v>ELEVATED</v>
      </c>
      <c r="U20" s="40" t="str">
        <f t="shared" si="4"/>
        <v>ELEVATED</v>
      </c>
      <c r="V20" s="41" t="str">
        <f t="shared" si="5"/>
        <v>REDUCE / BUILD LIST</v>
      </c>
      <c r="W20" s="40" t="str">
        <f t="shared" si="6"/>
        <v>WAIT — DEFENSIVE</v>
      </c>
      <c r="X20" s="15"/>
      <c r="Y20" s="35">
        <f t="shared" si="13"/>
        <v>1</v>
      </c>
      <c r="Z20" s="36" t="str">
        <f t="shared" si="7"/>
        <v>🔴 NOT YET</v>
      </c>
      <c r="AA20" s="37">
        <v>19</v>
      </c>
      <c r="AB20" s="37">
        <v>-112</v>
      </c>
    </row>
    <row r="21" spans="2:28" ht="18" customHeight="1" x14ac:dyDescent="0.3">
      <c r="B21" s="43">
        <v>46112</v>
      </c>
      <c r="C21" s="44">
        <v>25.35</v>
      </c>
      <c r="D21" s="28">
        <f t="shared" si="8"/>
        <v>-5.27</v>
      </c>
      <c r="E21" s="44">
        <v>25</v>
      </c>
      <c r="F21" s="44">
        <v>24.42</v>
      </c>
      <c r="G21" s="44">
        <v>24.25</v>
      </c>
      <c r="H21" t="s">
        <v>30</v>
      </c>
      <c r="I21" s="28">
        <f t="shared" si="0"/>
        <v>0.35000000000000142</v>
      </c>
      <c r="J21" s="28">
        <f t="shared" si="1"/>
        <v>0.92999999999999972</v>
      </c>
      <c r="K21" s="15"/>
      <c r="L21" s="44">
        <v>96.05</v>
      </c>
      <c r="M21" s="28">
        <f t="shared" si="9"/>
        <v>-12.280000000000001</v>
      </c>
      <c r="N21" s="42">
        <f t="shared" si="10"/>
        <v>-0.11335733407181761</v>
      </c>
      <c r="P21" s="31">
        <v>28.52</v>
      </c>
      <c r="Q21" s="29">
        <f t="shared" si="11"/>
        <v>-9.09</v>
      </c>
      <c r="R21" s="32">
        <f t="shared" si="12"/>
        <v>-0.2416910396171231</v>
      </c>
      <c r="S21" s="29" t="str">
        <f t="shared" si="2"/>
        <v>ELEVATED</v>
      </c>
      <c r="T21" s="33" t="str">
        <f t="shared" si="3"/>
        <v>ELEVATED</v>
      </c>
      <c r="U21" s="33" t="str">
        <f t="shared" si="4"/>
        <v>ELEVATED</v>
      </c>
      <c r="V21" s="34" t="str">
        <f t="shared" si="5"/>
        <v>REDUCE / BUILD LIST</v>
      </c>
      <c r="W21" s="33" t="str">
        <f t="shared" si="6"/>
        <v>WAIT — DEFENSIVE</v>
      </c>
      <c r="X21" s="15"/>
      <c r="Y21" s="35">
        <f t="shared" si="13"/>
        <v>2</v>
      </c>
      <c r="Z21" s="36" t="str">
        <f t="shared" si="7"/>
        <v>🟡 APPROACHING</v>
      </c>
      <c r="AA21" s="37">
        <v>24</v>
      </c>
      <c r="AB21" s="37">
        <v>-17</v>
      </c>
    </row>
    <row r="22" spans="2:28" ht="18" customHeight="1" x14ac:dyDescent="0.3">
      <c r="B22" s="45">
        <v>46113</v>
      </c>
      <c r="C22" s="46">
        <v>24.54</v>
      </c>
      <c r="D22" s="38">
        <f t="shared" si="8"/>
        <v>-0.81000000000000227</v>
      </c>
      <c r="E22" s="46">
        <v>24.35</v>
      </c>
      <c r="F22" s="46">
        <v>23.87</v>
      </c>
      <c r="G22" s="46">
        <v>23.75</v>
      </c>
      <c r="H22" t="s">
        <v>30</v>
      </c>
      <c r="I22" s="38">
        <f t="shared" si="0"/>
        <v>0.18999999999999773</v>
      </c>
      <c r="J22" s="38">
        <f t="shared" si="1"/>
        <v>0.66999999999999815</v>
      </c>
      <c r="K22" s="15"/>
      <c r="L22" s="46">
        <v>90.19</v>
      </c>
      <c r="M22" s="38">
        <f t="shared" si="9"/>
        <v>-5.8599999999999994</v>
      </c>
      <c r="N22" s="39">
        <f t="shared" si="10"/>
        <v>-6.1009890681936491E-2</v>
      </c>
      <c r="P22" s="31">
        <v>26.08</v>
      </c>
      <c r="Q22" s="29">
        <f t="shared" si="11"/>
        <v>-2.4400000000000013</v>
      </c>
      <c r="R22" s="32">
        <f t="shared" si="12"/>
        <v>-8.5553997194950951E-2</v>
      </c>
      <c r="S22" s="29" t="str">
        <f t="shared" si="2"/>
        <v>ELEVATED</v>
      </c>
      <c r="T22" s="40" t="str">
        <f t="shared" si="3"/>
        <v>NORMAL</v>
      </c>
      <c r="U22" s="40" t="str">
        <f t="shared" si="4"/>
        <v>ELEVATED</v>
      </c>
      <c r="V22" s="41" t="str">
        <f t="shared" si="5"/>
        <v>STANDARD OPS</v>
      </c>
      <c r="W22" s="40" t="str">
        <f t="shared" si="6"/>
        <v>MONITOR</v>
      </c>
      <c r="X22" s="15"/>
      <c r="Y22" s="35">
        <f t="shared" si="13"/>
        <v>3</v>
      </c>
      <c r="Z22" s="36" t="str">
        <f t="shared" si="7"/>
        <v>🟢 REVERSION WATCH</v>
      </c>
      <c r="AA22" s="37">
        <v>26</v>
      </c>
      <c r="AB22" s="37">
        <v>29</v>
      </c>
    </row>
    <row r="23" spans="2:28" ht="18" customHeight="1" x14ac:dyDescent="0.3">
      <c r="B23" s="43">
        <v>46114</v>
      </c>
      <c r="C23" s="44">
        <v>23.87</v>
      </c>
      <c r="D23" s="28">
        <f t="shared" si="8"/>
        <v>-0.66999999999999815</v>
      </c>
      <c r="E23" s="44">
        <v>24.66</v>
      </c>
      <c r="F23" s="44">
        <v>24.1</v>
      </c>
      <c r="G23" s="44">
        <v>23.85</v>
      </c>
      <c r="H23" t="s">
        <v>30</v>
      </c>
      <c r="I23" s="28">
        <f t="shared" si="0"/>
        <v>-0.78999999999999915</v>
      </c>
      <c r="J23" s="28">
        <f t="shared" si="1"/>
        <v>-0.23000000000000043</v>
      </c>
      <c r="K23" s="15"/>
      <c r="L23" s="44">
        <v>84.41</v>
      </c>
      <c r="M23" s="28">
        <f t="shared" si="9"/>
        <v>-5.7800000000000011</v>
      </c>
      <c r="N23" s="42">
        <f t="shared" si="10"/>
        <v>-6.4086927597294618E-2</v>
      </c>
      <c r="P23" s="31">
        <v>25</v>
      </c>
      <c r="Q23" s="29">
        <f t="shared" si="11"/>
        <v>-1.0799999999999983</v>
      </c>
      <c r="R23" s="32">
        <f t="shared" si="12"/>
        <v>-4.141104294478521E-2</v>
      </c>
      <c r="S23" s="29" t="str">
        <f t="shared" si="2"/>
        <v>ELEVATED</v>
      </c>
      <c r="T23" s="33" t="str">
        <f t="shared" si="3"/>
        <v>NORMAL</v>
      </c>
      <c r="U23" s="33" t="str">
        <f t="shared" si="4"/>
        <v>NORMAL</v>
      </c>
      <c r="V23" s="34" t="str">
        <f t="shared" si="5"/>
        <v>STANDARD OPS</v>
      </c>
      <c r="W23" s="33" t="str">
        <f t="shared" si="6"/>
        <v>MONITOR</v>
      </c>
      <c r="X23" s="15"/>
      <c r="Y23" s="35">
        <f t="shared" si="13"/>
        <v>4</v>
      </c>
      <c r="Z23" s="36" t="str">
        <f t="shared" si="7"/>
        <v>🟢 REVERSION WATCH</v>
      </c>
      <c r="AA23" s="37">
        <v>28</v>
      </c>
      <c r="AB23" s="37">
        <v>51</v>
      </c>
    </row>
    <row r="24" spans="2:28" ht="18" customHeight="1" x14ac:dyDescent="0.3">
      <c r="B24" s="45">
        <v>46118</v>
      </c>
      <c r="C24" s="46">
        <v>24.17</v>
      </c>
      <c r="D24" s="38">
        <f t="shared" si="8"/>
        <v>0.30000000000000071</v>
      </c>
      <c r="E24" s="46">
        <v>23.76</v>
      </c>
      <c r="F24" s="46">
        <v>23.28</v>
      </c>
      <c r="G24" s="46">
        <v>23.22</v>
      </c>
      <c r="H24" t="s">
        <v>30</v>
      </c>
      <c r="I24" s="38">
        <f t="shared" si="0"/>
        <v>0.41000000000000014</v>
      </c>
      <c r="J24" s="38">
        <f t="shared" si="1"/>
        <v>0.89000000000000057</v>
      </c>
      <c r="K24" s="15"/>
      <c r="L24" s="46">
        <v>81.680000000000007</v>
      </c>
      <c r="M24" s="38">
        <f t="shared" si="9"/>
        <v>-2.7299999999999898</v>
      </c>
      <c r="N24" s="39">
        <f t="shared" si="10"/>
        <v>-3.2342139556924415E-2</v>
      </c>
      <c r="P24" s="31">
        <v>24.08</v>
      </c>
      <c r="Q24" s="29">
        <f t="shared" si="11"/>
        <v>-0.92000000000000171</v>
      </c>
      <c r="R24" s="32">
        <f t="shared" si="12"/>
        <v>-3.6800000000000069E-2</v>
      </c>
      <c r="S24" s="29" t="str">
        <f t="shared" si="2"/>
        <v>ELEVATED</v>
      </c>
      <c r="T24" s="40" t="str">
        <f t="shared" si="3"/>
        <v>NORMAL</v>
      </c>
      <c r="U24" s="40" t="str">
        <f t="shared" si="4"/>
        <v>NORMAL</v>
      </c>
      <c r="V24" s="41" t="str">
        <f t="shared" si="5"/>
        <v>STANDARD OPS</v>
      </c>
      <c r="W24" s="40" t="str">
        <f t="shared" si="6"/>
        <v>MONITOR</v>
      </c>
      <c r="X24" s="15"/>
      <c r="Y24" s="35">
        <f t="shared" si="13"/>
        <v>0</v>
      </c>
      <c r="Z24" s="36" t="str">
        <f t="shared" si="7"/>
        <v>🔴 NOT YET</v>
      </c>
      <c r="AA24" s="37">
        <v>31</v>
      </c>
      <c r="AB24" s="37">
        <v>82</v>
      </c>
    </row>
    <row r="25" spans="2:28" ht="18" customHeight="1" x14ac:dyDescent="0.3">
      <c r="B25" s="43">
        <v>46119</v>
      </c>
      <c r="C25" s="44">
        <v>25.78</v>
      </c>
      <c r="D25" s="28">
        <f t="shared" si="8"/>
        <v>1.6099999999999994</v>
      </c>
      <c r="E25" s="44">
        <v>23.95</v>
      </c>
      <c r="F25" s="44">
        <v>23.37</v>
      </c>
      <c r="G25" s="44">
        <v>23.15</v>
      </c>
      <c r="H25" t="s">
        <v>30</v>
      </c>
      <c r="I25" s="28">
        <f t="shared" si="0"/>
        <v>1.8300000000000018</v>
      </c>
      <c r="J25" s="28">
        <f t="shared" si="1"/>
        <v>2.41</v>
      </c>
      <c r="K25" s="15"/>
      <c r="L25" s="44">
        <v>83.15</v>
      </c>
      <c r="M25" s="28">
        <f t="shared" si="9"/>
        <v>1.4699999999999989</v>
      </c>
      <c r="N25" s="42">
        <f t="shared" si="10"/>
        <v>1.7997061704211541E-2</v>
      </c>
      <c r="P25" s="31">
        <v>25.7</v>
      </c>
      <c r="Q25" s="29">
        <f t="shared" si="11"/>
        <v>1.620000000000001</v>
      </c>
      <c r="R25" s="32">
        <f t="shared" si="12"/>
        <v>6.72757475083057E-2</v>
      </c>
      <c r="S25" s="29" t="str">
        <f t="shared" si="2"/>
        <v>ELEVATED</v>
      </c>
      <c r="T25" s="33" t="str">
        <f t="shared" si="3"/>
        <v>ELEVATED</v>
      </c>
      <c r="U25" s="33" t="str">
        <f t="shared" si="4"/>
        <v>NORMAL</v>
      </c>
      <c r="V25" s="34" t="str">
        <f t="shared" si="5"/>
        <v>REDUCE / BUILD LIST</v>
      </c>
      <c r="W25" s="33" t="str">
        <f t="shared" si="6"/>
        <v>WAIT — DEFENSIVE</v>
      </c>
      <c r="X25" s="15"/>
      <c r="Y25" s="35">
        <f t="shared" si="13"/>
        <v>0</v>
      </c>
      <c r="Z25" s="36" t="str">
        <f t="shared" si="7"/>
        <v>🔴 NOT YET</v>
      </c>
      <c r="AA25" s="37">
        <v>29</v>
      </c>
      <c r="AB25" s="37">
        <v>66</v>
      </c>
    </row>
    <row r="26" spans="2:28" ht="18" customHeight="1" x14ac:dyDescent="0.3">
      <c r="B26" s="45">
        <v>46120</v>
      </c>
      <c r="C26" s="46">
        <v>21.04</v>
      </c>
      <c r="D26" s="38">
        <f t="shared" si="8"/>
        <v>-4.740000000000002</v>
      </c>
      <c r="E26" s="46">
        <v>22</v>
      </c>
      <c r="F26" s="46">
        <v>22.15</v>
      </c>
      <c r="G26" s="46">
        <v>22.22</v>
      </c>
      <c r="H26" t="s">
        <v>30</v>
      </c>
      <c r="I26" s="38">
        <f t="shared" si="0"/>
        <v>-0.96000000000000085</v>
      </c>
      <c r="J26" s="38">
        <f t="shared" si="1"/>
        <v>-1.1099999999999994</v>
      </c>
      <c r="K26" s="15"/>
      <c r="L26" s="46">
        <v>78.739999999999995</v>
      </c>
      <c r="M26" s="38">
        <f t="shared" si="9"/>
        <v>-4.4100000000000108</v>
      </c>
      <c r="N26" s="39">
        <f t="shared" si="10"/>
        <v>-5.3036680697534699E-2</v>
      </c>
      <c r="P26" s="31">
        <v>17.27</v>
      </c>
      <c r="Q26" s="29">
        <f t="shared" si="11"/>
        <v>-8.43</v>
      </c>
      <c r="R26" s="32">
        <f t="shared" si="12"/>
        <v>-0.32801556420233463</v>
      </c>
      <c r="S26" s="29" t="str">
        <f t="shared" si="2"/>
        <v>CALM</v>
      </c>
      <c r="T26" s="40" t="str">
        <f t="shared" si="3"/>
        <v>NORMAL</v>
      </c>
      <c r="U26" s="40" t="str">
        <f t="shared" si="4"/>
        <v>NORMAL</v>
      </c>
      <c r="V26" s="41" t="str">
        <f t="shared" si="5"/>
        <v>STANDARD OPS</v>
      </c>
      <c r="W26" s="40" t="str">
        <f t="shared" si="6"/>
        <v>MONITOR</v>
      </c>
      <c r="X26" s="15"/>
      <c r="Y26" s="35">
        <f t="shared" si="13"/>
        <v>1</v>
      </c>
      <c r="Z26" s="36" t="str">
        <f t="shared" si="7"/>
        <v>🔴 NOT YET</v>
      </c>
      <c r="AA26" s="37">
        <v>46</v>
      </c>
      <c r="AB26" s="37">
        <v>152</v>
      </c>
    </row>
    <row r="27" spans="2:28" ht="18" customHeight="1" x14ac:dyDescent="0.3">
      <c r="B27" s="43">
        <v>46121</v>
      </c>
      <c r="C27" s="44">
        <v>19.489999999999998</v>
      </c>
      <c r="D27" s="28">
        <f t="shared" si="8"/>
        <v>-1.5500000000000007</v>
      </c>
      <c r="E27" s="44">
        <v>20.28</v>
      </c>
      <c r="F27" s="44">
        <v>21.22</v>
      </c>
      <c r="G27" s="44">
        <v>21.6</v>
      </c>
      <c r="H27" s="47">
        <v>22.11</v>
      </c>
      <c r="I27" s="28">
        <f t="shared" si="0"/>
        <v>-0.7900000000000027</v>
      </c>
      <c r="J27" s="28">
        <f t="shared" si="1"/>
        <v>-1.7300000000000004</v>
      </c>
      <c r="K27" s="15"/>
      <c r="L27" s="44">
        <v>74.010000000000005</v>
      </c>
      <c r="M27" s="28">
        <f t="shared" si="9"/>
        <v>-4.7299999999999898</v>
      </c>
      <c r="N27" s="42">
        <f t="shared" si="10"/>
        <v>-6.0071120142240156E-2</v>
      </c>
      <c r="P27" s="31">
        <v>14.25</v>
      </c>
      <c r="Q27" s="29">
        <f t="shared" si="11"/>
        <v>-3.0199999999999996</v>
      </c>
      <c r="R27" s="32">
        <f t="shared" si="12"/>
        <v>-0.17486971627099013</v>
      </c>
      <c r="S27" s="29" t="str">
        <f t="shared" si="2"/>
        <v>CALM</v>
      </c>
      <c r="T27" s="33" t="str">
        <f t="shared" si="3"/>
        <v>NORMAL</v>
      </c>
      <c r="U27" s="33" t="str">
        <f t="shared" si="4"/>
        <v>NORMAL</v>
      </c>
      <c r="V27" s="34" t="str">
        <f t="shared" si="5"/>
        <v>STANDARD OPS</v>
      </c>
      <c r="W27" s="33" t="str">
        <f t="shared" si="6"/>
        <v>MONITOR</v>
      </c>
      <c r="X27" s="15"/>
      <c r="Y27" s="35">
        <f t="shared" si="13"/>
        <v>2</v>
      </c>
      <c r="Z27" s="36" t="str">
        <f t="shared" si="7"/>
        <v>🟡 APPROACHING</v>
      </c>
      <c r="AA27" s="37">
        <v>48</v>
      </c>
      <c r="AB27" s="37">
        <v>170</v>
      </c>
    </row>
    <row r="28" spans="2:28" ht="18" customHeight="1" x14ac:dyDescent="0.3">
      <c r="B28" s="45">
        <v>46122</v>
      </c>
      <c r="C28" s="46">
        <v>19.29</v>
      </c>
      <c r="D28" s="38">
        <f t="shared" si="8"/>
        <v>-0.19999999999999929</v>
      </c>
      <c r="E28" s="46">
        <v>20.36</v>
      </c>
      <c r="F28" s="46">
        <v>21.47</v>
      </c>
      <c r="G28" s="46">
        <v>21.82</v>
      </c>
      <c r="H28" s="48">
        <v>22.23</v>
      </c>
      <c r="I28" s="38">
        <f t="shared" si="0"/>
        <v>-1.0700000000000003</v>
      </c>
      <c r="J28" s="38">
        <f t="shared" si="1"/>
        <v>-2.1799999999999997</v>
      </c>
      <c r="K28" s="15"/>
      <c r="L28" s="46">
        <v>72.150000000000006</v>
      </c>
      <c r="M28" s="38">
        <f t="shared" si="9"/>
        <v>-1.8599999999999994</v>
      </c>
      <c r="N28" s="39">
        <f t="shared" si="10"/>
        <v>-2.5131738954195369E-2</v>
      </c>
      <c r="P28" s="31">
        <v>13.6</v>
      </c>
      <c r="Q28" s="29">
        <f t="shared" si="11"/>
        <v>-0.65000000000000036</v>
      </c>
      <c r="R28" s="32">
        <f t="shared" si="12"/>
        <v>-4.5614035087719322E-2</v>
      </c>
      <c r="S28" s="29" t="str">
        <f t="shared" si="2"/>
        <v>CALM</v>
      </c>
      <c r="T28" s="40" t="str">
        <f t="shared" si="3"/>
        <v>NORMAL</v>
      </c>
      <c r="U28" s="40" t="str">
        <f t="shared" si="4"/>
        <v>NORMAL</v>
      </c>
      <c r="V28" s="41" t="str">
        <f t="shared" si="5"/>
        <v>STANDARD OPS</v>
      </c>
      <c r="W28" s="40" t="str">
        <f t="shared" si="6"/>
        <v>MONITOR</v>
      </c>
      <c r="X28" s="15"/>
      <c r="Y28" s="35">
        <f t="shared" si="13"/>
        <v>3</v>
      </c>
      <c r="Z28" s="36" t="str">
        <f t="shared" si="7"/>
        <v>🟢 REVERSION WATCH</v>
      </c>
      <c r="AA28" s="37">
        <v>43</v>
      </c>
      <c r="AB28" s="37">
        <v>132</v>
      </c>
    </row>
    <row r="29" spans="2:28" ht="18" customHeight="1" x14ac:dyDescent="0.3">
      <c r="B29" s="43"/>
      <c r="C29" s="44"/>
      <c r="D29" s="28" t="str">
        <f t="shared" si="8"/>
        <v>-</v>
      </c>
      <c r="E29" s="44"/>
      <c r="F29" s="44"/>
      <c r="G29" s="44"/>
      <c r="I29" s="28" t="str">
        <f t="shared" si="0"/>
        <v>-</v>
      </c>
      <c r="J29" s="28" t="str">
        <f t="shared" si="1"/>
        <v>-</v>
      </c>
      <c r="K29" s="15"/>
      <c r="L29" s="44"/>
      <c r="M29" s="28" t="str">
        <f t="shared" si="9"/>
        <v>-</v>
      </c>
      <c r="N29" s="42" t="str">
        <f t="shared" si="10"/>
        <v>-</v>
      </c>
      <c r="P29" s="31"/>
      <c r="Q29" s="29" t="str">
        <f t="shared" si="11"/>
        <v>-</v>
      </c>
      <c r="R29" s="32" t="str">
        <f t="shared" si="12"/>
        <v>-</v>
      </c>
      <c r="S29" s="29" t="str">
        <f t="shared" si="2"/>
        <v>-</v>
      </c>
      <c r="T29" s="33" t="str">
        <f t="shared" si="3"/>
        <v>-</v>
      </c>
      <c r="U29" s="33" t="str">
        <f t="shared" si="4"/>
        <v>-</v>
      </c>
      <c r="V29" s="34" t="str">
        <f t="shared" si="5"/>
        <v>-</v>
      </c>
      <c r="W29" s="33" t="str">
        <f t="shared" si="6"/>
        <v>-</v>
      </c>
      <c r="X29" s="15"/>
      <c r="Y29" s="35" t="str">
        <f t="shared" si="13"/>
        <v>-</v>
      </c>
      <c r="Z29" s="36" t="str">
        <f t="shared" si="7"/>
        <v>-</v>
      </c>
      <c r="AA29" s="37"/>
      <c r="AB29" s="37"/>
    </row>
    <row r="30" spans="2:28" ht="18" customHeight="1" x14ac:dyDescent="0.3">
      <c r="B30" s="45"/>
      <c r="C30" s="46"/>
      <c r="D30" s="38" t="str">
        <f t="shared" si="8"/>
        <v>-</v>
      </c>
      <c r="E30" s="46"/>
      <c r="F30" s="46"/>
      <c r="G30" s="46"/>
      <c r="I30" s="38" t="str">
        <f t="shared" si="0"/>
        <v>-</v>
      </c>
      <c r="J30" s="38" t="str">
        <f t="shared" si="1"/>
        <v>-</v>
      </c>
      <c r="K30" s="15"/>
      <c r="L30" s="46"/>
      <c r="M30" s="38" t="str">
        <f t="shared" si="9"/>
        <v>-</v>
      </c>
      <c r="N30" s="39" t="str">
        <f t="shared" si="10"/>
        <v>-</v>
      </c>
      <c r="P30" s="31"/>
      <c r="Q30" s="29" t="str">
        <f t="shared" si="11"/>
        <v>-</v>
      </c>
      <c r="R30" s="32" t="str">
        <f t="shared" si="12"/>
        <v>-</v>
      </c>
      <c r="S30" s="29" t="str">
        <f t="shared" si="2"/>
        <v>-</v>
      </c>
      <c r="T30" s="40" t="str">
        <f t="shared" si="3"/>
        <v>-</v>
      </c>
      <c r="U30" s="40" t="str">
        <f t="shared" si="4"/>
        <v>-</v>
      </c>
      <c r="V30" s="41" t="str">
        <f t="shared" si="5"/>
        <v>-</v>
      </c>
      <c r="W30" s="40" t="str">
        <f t="shared" si="6"/>
        <v>-</v>
      </c>
      <c r="X30" s="15"/>
      <c r="Y30" s="35" t="str">
        <f t="shared" si="13"/>
        <v>-</v>
      </c>
      <c r="Z30" s="36" t="str">
        <f t="shared" si="7"/>
        <v>-</v>
      </c>
      <c r="AA30" s="37"/>
      <c r="AB30" s="37"/>
    </row>
    <row r="31" spans="2:28" ht="18" customHeight="1" x14ac:dyDescent="0.3">
      <c r="B31" s="43"/>
      <c r="C31" s="44"/>
      <c r="D31" s="28" t="str">
        <f t="shared" si="8"/>
        <v>-</v>
      </c>
      <c r="E31" s="44"/>
      <c r="F31" s="44"/>
      <c r="G31" s="44"/>
      <c r="I31" s="28" t="str">
        <f t="shared" si="0"/>
        <v>-</v>
      </c>
      <c r="J31" s="28" t="str">
        <f t="shared" si="1"/>
        <v>-</v>
      </c>
      <c r="K31" s="15"/>
      <c r="L31" s="44"/>
      <c r="M31" s="28" t="str">
        <f t="shared" si="9"/>
        <v>-</v>
      </c>
      <c r="N31" s="42" t="str">
        <f t="shared" si="10"/>
        <v>-</v>
      </c>
      <c r="P31" s="31"/>
      <c r="Q31" s="29" t="str">
        <f t="shared" si="11"/>
        <v>-</v>
      </c>
      <c r="R31" s="32" t="str">
        <f t="shared" si="12"/>
        <v>-</v>
      </c>
      <c r="S31" s="29" t="str">
        <f t="shared" si="2"/>
        <v>-</v>
      </c>
      <c r="T31" s="33" t="str">
        <f t="shared" si="3"/>
        <v>-</v>
      </c>
      <c r="U31" s="33" t="str">
        <f t="shared" si="4"/>
        <v>-</v>
      </c>
      <c r="V31" s="34" t="str">
        <f t="shared" si="5"/>
        <v>-</v>
      </c>
      <c r="W31" s="33" t="str">
        <f t="shared" si="6"/>
        <v>-</v>
      </c>
      <c r="X31" s="15"/>
      <c r="Y31" s="35" t="str">
        <f t="shared" si="13"/>
        <v>-</v>
      </c>
      <c r="Z31" s="36" t="str">
        <f t="shared" si="7"/>
        <v>-</v>
      </c>
      <c r="AA31" s="37"/>
      <c r="AB31" s="37"/>
    </row>
    <row r="32" spans="2:28" ht="18" customHeight="1" x14ac:dyDescent="0.3">
      <c r="B32" s="45"/>
      <c r="C32" s="46"/>
      <c r="D32" s="38" t="str">
        <f t="shared" si="8"/>
        <v>-</v>
      </c>
      <c r="E32" s="46"/>
      <c r="F32" s="46"/>
      <c r="G32" s="46"/>
      <c r="I32" s="38" t="str">
        <f t="shared" si="0"/>
        <v>-</v>
      </c>
      <c r="J32" s="38" t="str">
        <f t="shared" si="1"/>
        <v>-</v>
      </c>
      <c r="K32" s="15"/>
      <c r="L32" s="46"/>
      <c r="M32" s="38" t="str">
        <f t="shared" si="9"/>
        <v>-</v>
      </c>
      <c r="N32" s="39" t="str">
        <f t="shared" si="10"/>
        <v>-</v>
      </c>
      <c r="P32" s="31"/>
      <c r="Q32" s="29" t="str">
        <f t="shared" si="11"/>
        <v>-</v>
      </c>
      <c r="R32" s="32" t="str">
        <f t="shared" si="12"/>
        <v>-</v>
      </c>
      <c r="S32" s="29" t="str">
        <f t="shared" si="2"/>
        <v>-</v>
      </c>
      <c r="T32" s="40" t="str">
        <f t="shared" si="3"/>
        <v>-</v>
      </c>
      <c r="U32" s="40" t="str">
        <f t="shared" si="4"/>
        <v>-</v>
      </c>
      <c r="V32" s="41" t="str">
        <f t="shared" si="5"/>
        <v>-</v>
      </c>
      <c r="W32" s="40" t="str">
        <f t="shared" si="6"/>
        <v>-</v>
      </c>
      <c r="X32" s="15"/>
      <c r="Y32" s="35" t="str">
        <f t="shared" si="13"/>
        <v>-</v>
      </c>
      <c r="Z32" s="36" t="str">
        <f t="shared" si="7"/>
        <v>-</v>
      </c>
      <c r="AA32" s="37"/>
      <c r="AB32" s="37"/>
    </row>
    <row r="33" spans="2:28" ht="18" customHeight="1" x14ac:dyDescent="0.3">
      <c r="B33" s="43"/>
      <c r="C33" s="44"/>
      <c r="D33" s="28" t="str">
        <f t="shared" si="8"/>
        <v>-</v>
      </c>
      <c r="E33" s="44"/>
      <c r="F33" s="44"/>
      <c r="G33" s="44"/>
      <c r="I33" s="28" t="str">
        <f t="shared" si="0"/>
        <v>-</v>
      </c>
      <c r="J33" s="28" t="str">
        <f t="shared" si="1"/>
        <v>-</v>
      </c>
      <c r="K33" s="15"/>
      <c r="L33" s="44"/>
      <c r="M33" s="28" t="str">
        <f t="shared" si="9"/>
        <v>-</v>
      </c>
      <c r="N33" s="42" t="str">
        <f t="shared" si="10"/>
        <v>-</v>
      </c>
      <c r="P33" s="31"/>
      <c r="Q33" s="29" t="str">
        <f t="shared" si="11"/>
        <v>-</v>
      </c>
      <c r="R33" s="32" t="str">
        <f t="shared" si="12"/>
        <v>-</v>
      </c>
      <c r="S33" s="29" t="str">
        <f t="shared" si="2"/>
        <v>-</v>
      </c>
      <c r="T33" s="33" t="str">
        <f t="shared" si="3"/>
        <v>-</v>
      </c>
      <c r="U33" s="33" t="str">
        <f t="shared" si="4"/>
        <v>-</v>
      </c>
      <c r="V33" s="34" t="str">
        <f t="shared" si="5"/>
        <v>-</v>
      </c>
      <c r="W33" s="33" t="str">
        <f t="shared" si="6"/>
        <v>-</v>
      </c>
      <c r="X33" s="15"/>
      <c r="Y33" s="35" t="str">
        <f t="shared" si="13"/>
        <v>-</v>
      </c>
      <c r="Z33" s="36" t="str">
        <f t="shared" si="7"/>
        <v>-</v>
      </c>
      <c r="AA33" s="37"/>
      <c r="AB33" s="37"/>
    </row>
    <row r="34" spans="2:28" ht="18" customHeight="1" x14ac:dyDescent="0.3">
      <c r="B34" s="45"/>
      <c r="C34" s="46"/>
      <c r="D34" s="38" t="str">
        <f t="shared" si="8"/>
        <v>-</v>
      </c>
      <c r="E34" s="46"/>
      <c r="F34" s="46"/>
      <c r="G34" s="46"/>
      <c r="I34" s="38" t="str">
        <f t="shared" si="0"/>
        <v>-</v>
      </c>
      <c r="J34" s="38" t="str">
        <f t="shared" si="1"/>
        <v>-</v>
      </c>
      <c r="K34" s="15"/>
      <c r="L34" s="46"/>
      <c r="M34" s="38" t="str">
        <f t="shared" si="9"/>
        <v>-</v>
      </c>
      <c r="N34" s="39" t="str">
        <f t="shared" si="10"/>
        <v>-</v>
      </c>
      <c r="P34" s="31"/>
      <c r="Q34" s="29" t="str">
        <f t="shared" si="11"/>
        <v>-</v>
      </c>
      <c r="R34" s="32" t="str">
        <f t="shared" si="12"/>
        <v>-</v>
      </c>
      <c r="S34" s="29" t="str">
        <f t="shared" si="2"/>
        <v>-</v>
      </c>
      <c r="T34" s="40" t="str">
        <f t="shared" si="3"/>
        <v>-</v>
      </c>
      <c r="U34" s="40" t="str">
        <f t="shared" si="4"/>
        <v>-</v>
      </c>
      <c r="V34" s="41" t="str">
        <f t="shared" si="5"/>
        <v>-</v>
      </c>
      <c r="W34" s="40" t="str">
        <f t="shared" si="6"/>
        <v>-</v>
      </c>
      <c r="X34" s="15"/>
      <c r="Y34" s="35" t="str">
        <f t="shared" si="13"/>
        <v>-</v>
      </c>
      <c r="Z34" s="36" t="str">
        <f t="shared" si="7"/>
        <v>-</v>
      </c>
      <c r="AA34" s="37"/>
      <c r="AB34" s="37"/>
    </row>
    <row r="35" spans="2:28" ht="18" customHeight="1" x14ac:dyDescent="0.3">
      <c r="B35" s="43"/>
      <c r="C35" s="44"/>
      <c r="D35" s="28" t="str">
        <f t="shared" si="8"/>
        <v>-</v>
      </c>
      <c r="E35" s="44"/>
      <c r="F35" s="44"/>
      <c r="G35" s="44"/>
      <c r="I35" s="28" t="str">
        <f t="shared" si="0"/>
        <v>-</v>
      </c>
      <c r="J35" s="28" t="str">
        <f t="shared" si="1"/>
        <v>-</v>
      </c>
      <c r="K35" s="15"/>
      <c r="L35" s="44"/>
      <c r="M35" s="28" t="str">
        <f t="shared" si="9"/>
        <v>-</v>
      </c>
      <c r="N35" s="42" t="str">
        <f t="shared" si="10"/>
        <v>-</v>
      </c>
      <c r="P35" s="31"/>
      <c r="Q35" s="29" t="str">
        <f t="shared" si="11"/>
        <v>-</v>
      </c>
      <c r="R35" s="32" t="str">
        <f t="shared" si="12"/>
        <v>-</v>
      </c>
      <c r="S35" s="29" t="str">
        <f t="shared" si="2"/>
        <v>-</v>
      </c>
      <c r="T35" s="33" t="str">
        <f t="shared" si="3"/>
        <v>-</v>
      </c>
      <c r="U35" s="33" t="str">
        <f t="shared" si="4"/>
        <v>-</v>
      </c>
      <c r="V35" s="34" t="str">
        <f t="shared" si="5"/>
        <v>-</v>
      </c>
      <c r="W35" s="33" t="str">
        <f t="shared" si="6"/>
        <v>-</v>
      </c>
      <c r="X35" s="15"/>
      <c r="Y35" s="35" t="str">
        <f t="shared" si="13"/>
        <v>-</v>
      </c>
      <c r="Z35" s="36" t="str">
        <f t="shared" si="7"/>
        <v>-</v>
      </c>
      <c r="AA35" s="37"/>
      <c r="AB35" s="37"/>
    </row>
    <row r="36" spans="2:28" ht="18" customHeight="1" x14ac:dyDescent="0.3">
      <c r="B36" s="45"/>
      <c r="C36" s="46"/>
      <c r="D36" s="38" t="str">
        <f t="shared" si="8"/>
        <v>-</v>
      </c>
      <c r="E36" s="46"/>
      <c r="F36" s="46"/>
      <c r="G36" s="46"/>
      <c r="I36" s="38" t="str">
        <f t="shared" si="0"/>
        <v>-</v>
      </c>
      <c r="J36" s="38" t="str">
        <f t="shared" si="1"/>
        <v>-</v>
      </c>
      <c r="K36" s="15"/>
      <c r="L36" s="46"/>
      <c r="M36" s="38" t="str">
        <f t="shared" si="9"/>
        <v>-</v>
      </c>
      <c r="N36" s="39" t="str">
        <f t="shared" si="10"/>
        <v>-</v>
      </c>
      <c r="P36" s="31"/>
      <c r="Q36" s="29" t="str">
        <f t="shared" si="11"/>
        <v>-</v>
      </c>
      <c r="R36" s="32" t="str">
        <f t="shared" si="12"/>
        <v>-</v>
      </c>
      <c r="S36" s="29" t="str">
        <f t="shared" si="2"/>
        <v>-</v>
      </c>
      <c r="T36" s="40" t="str">
        <f t="shared" si="3"/>
        <v>-</v>
      </c>
      <c r="U36" s="40" t="str">
        <f t="shared" si="4"/>
        <v>-</v>
      </c>
      <c r="V36" s="41" t="str">
        <f t="shared" si="5"/>
        <v>-</v>
      </c>
      <c r="W36" s="40" t="str">
        <f t="shared" si="6"/>
        <v>-</v>
      </c>
      <c r="X36" s="15"/>
      <c r="Y36" s="35" t="str">
        <f t="shared" si="13"/>
        <v>-</v>
      </c>
      <c r="Z36" s="36" t="str">
        <f t="shared" si="7"/>
        <v>-</v>
      </c>
      <c r="AA36" s="37"/>
      <c r="AB36" s="37"/>
    </row>
    <row r="37" spans="2:28" ht="18" customHeight="1" x14ac:dyDescent="0.3">
      <c r="B37" s="43"/>
      <c r="C37" s="44"/>
      <c r="D37" s="28" t="str">
        <f t="shared" si="8"/>
        <v>-</v>
      </c>
      <c r="E37" s="44"/>
      <c r="F37" s="44"/>
      <c r="G37" s="44"/>
      <c r="I37" s="28" t="str">
        <f t="shared" ref="I37:I68" si="14">IF(C37="","-",IF(E37&lt;&gt;"",C37-E37,IF(F37&lt;&gt;"",C37-F37,IF(G37&lt;&gt;"",C37-G37,IF(H37&lt;&gt;"",C37-H37,"-")))))</f>
        <v>-</v>
      </c>
      <c r="J37" s="28" t="str">
        <f t="shared" ref="J37:J64" si="15">IF(C37="","-",IF(E37&lt;&gt;"",IF(F37&lt;&gt;"",C37-F37,IF(G37&lt;&gt;"",C37-G37,IF(H37&lt;&gt;"",C37-H37,"-"))),IF(F37&lt;&gt;"",IF(G37&lt;&gt;"",C37-G37,IF(H37&lt;&gt;"",C37-H37,"-")),IF(G37&lt;&gt;"",IF(H37&lt;&gt;"",C37-H37,"-"),"-"))))</f>
        <v>-</v>
      </c>
      <c r="K37" s="15"/>
      <c r="L37" s="44"/>
      <c r="M37" s="28" t="str">
        <f t="shared" si="9"/>
        <v>-</v>
      </c>
      <c r="N37" s="42" t="str">
        <f t="shared" si="10"/>
        <v>-</v>
      </c>
      <c r="P37" s="31"/>
      <c r="Q37" s="29" t="str">
        <f t="shared" si="11"/>
        <v>-</v>
      </c>
      <c r="R37" s="32" t="str">
        <f t="shared" si="12"/>
        <v>-</v>
      </c>
      <c r="S37" s="29" t="str">
        <f t="shared" ref="S37:S64" si="16">IF(P37="","-",IF(P37&lt;20,"CALM",IF(P37&lt;40,"ELEVATED",IF(P37&lt;60,"STRESSED","CRISIS"))))</f>
        <v>-</v>
      </c>
      <c r="T37" s="33" t="str">
        <f t="shared" ref="T37:T64" si="17">IF(C37="","-",IF(C37&lt;15,"EQUITY TREND",IF(C37&lt;25,"NORMAL",IF(C37&lt;35,"ELEVATED",IF(C37&lt;45,"HIGH STRESS","CRISIS")))))</f>
        <v>-</v>
      </c>
      <c r="U37" s="33" t="str">
        <f t="shared" ref="U37:U64" si="18">IF(L37="","-",IF(L37&lt;90,"NORMAL",IF(L37&lt;120,"ELEVATED",IF(L37&lt;160,"HIGH STRESS","CRISIS"))))</f>
        <v>-</v>
      </c>
      <c r="V37" s="34" t="str">
        <f t="shared" ref="V37:V64" si="19">IF(OR(C37="",L37=""),"-",IF(AND(C37&lt;15,L37&lt;90),"✦ FULL DEPLOYMENT",IF(AND(C37&lt;25,L37&lt;120),"STANDARD OPS",IF(AND(C37&lt;35,L37&lt;160),"REDUCE / BUILD LIST",IF(AND(C37&lt;45,L37&lt;160),"QUALITY ONLY","MAX CASH / WAIT")))))</f>
        <v>-</v>
      </c>
      <c r="W37" s="33" t="str">
        <f t="shared" ref="W37:W64" si="20">IF(OR(C37="",L37=""),"-",IF(AND(C37&lt;15,L37&lt;90),"HOLD",IF(AND(C37&lt;25,L37&lt;120),"MONITOR",IF(AND(C37&gt;=25,C37&lt;35),"WAIT — DEFENSIVE",IF(C37&gt;=35,"STRONG BUY","HOLD")))))</f>
        <v>-</v>
      </c>
      <c r="X37" s="15"/>
      <c r="Y37" s="35" t="str">
        <f t="shared" si="13"/>
        <v>-</v>
      </c>
      <c r="Z37" s="36" t="str">
        <f t="shared" ref="Z37:Z68" si="21">IF(OR(C37="",L37="",P37=""),"-",IF(AND(C37&lt;25,L37&lt;95,P37&lt;30,Y37&gt;=3),"🟢 REVERSION WATCH",IF(AND(C37&lt;27,L37&lt;105,P37&lt;35,Y37&gt;=2),"🟡 APPROACHING","🔴 NOT YET")))</f>
        <v>-</v>
      </c>
      <c r="AA37" s="37"/>
      <c r="AB37" s="37"/>
    </row>
    <row r="38" spans="2:28" ht="18" customHeight="1" x14ac:dyDescent="0.3">
      <c r="B38" s="45"/>
      <c r="C38" s="46"/>
      <c r="D38" s="38" t="str">
        <f t="shared" ref="D38:D69" si="22">IF(OR(C38="",C37=""),"-",C38-C37)</f>
        <v>-</v>
      </c>
      <c r="E38" s="46"/>
      <c r="F38" s="46"/>
      <c r="G38" s="46"/>
      <c r="I38" s="38" t="str">
        <f t="shared" si="14"/>
        <v>-</v>
      </c>
      <c r="J38" s="38" t="str">
        <f t="shared" si="15"/>
        <v>-</v>
      </c>
      <c r="K38" s="15"/>
      <c r="L38" s="46"/>
      <c r="M38" s="38" t="str">
        <f t="shared" ref="M38:M69" si="23">IF(OR(L38="",L37=""),"-",L38-L37)</f>
        <v>-</v>
      </c>
      <c r="N38" s="39" t="str">
        <f t="shared" ref="N38:N64" si="24">IF(OR(L38="",L37=""),"-",(L38-L37)/L37)</f>
        <v>-</v>
      </c>
      <c r="P38" s="31"/>
      <c r="Q38" s="29" t="str">
        <f t="shared" ref="Q38:Q69" si="25">IF(OR(P38="",P37=""),"-",P38-P37)</f>
        <v>-</v>
      </c>
      <c r="R38" s="32" t="str">
        <f t="shared" ref="R38:R64" si="26">IF(OR(P38="",P37=""),"-",(P38-P37)/P37)</f>
        <v>-</v>
      </c>
      <c r="S38" s="29" t="str">
        <f t="shared" si="16"/>
        <v>-</v>
      </c>
      <c r="T38" s="40" t="str">
        <f t="shared" si="17"/>
        <v>-</v>
      </c>
      <c r="U38" s="40" t="str">
        <f t="shared" si="18"/>
        <v>-</v>
      </c>
      <c r="V38" s="41" t="str">
        <f t="shared" si="19"/>
        <v>-</v>
      </c>
      <c r="W38" s="40" t="str">
        <f t="shared" si="20"/>
        <v>-</v>
      </c>
      <c r="X38" s="15"/>
      <c r="Y38" s="35" t="str">
        <f t="shared" ref="Y38:Y64" si="27">IF(C38="","-",IF(C38&lt;C37,IF(Y37="-",1,Y37+1),0))</f>
        <v>-</v>
      </c>
      <c r="Z38" s="36" t="str">
        <f t="shared" si="21"/>
        <v>-</v>
      </c>
      <c r="AA38" s="37"/>
      <c r="AB38" s="37"/>
    </row>
    <row r="39" spans="2:28" ht="18" customHeight="1" x14ac:dyDescent="0.3">
      <c r="B39" s="43"/>
      <c r="C39" s="44"/>
      <c r="D39" s="28" t="str">
        <f t="shared" si="22"/>
        <v>-</v>
      </c>
      <c r="E39" s="44"/>
      <c r="F39" s="44"/>
      <c r="G39" s="44"/>
      <c r="I39" s="28" t="str">
        <f t="shared" si="14"/>
        <v>-</v>
      </c>
      <c r="J39" s="28" t="str">
        <f t="shared" si="15"/>
        <v>-</v>
      </c>
      <c r="K39" s="15"/>
      <c r="L39" s="44"/>
      <c r="M39" s="28" t="str">
        <f t="shared" si="23"/>
        <v>-</v>
      </c>
      <c r="N39" s="42" t="str">
        <f t="shared" si="24"/>
        <v>-</v>
      </c>
      <c r="P39" s="31"/>
      <c r="Q39" s="29" t="str">
        <f t="shared" si="25"/>
        <v>-</v>
      </c>
      <c r="R39" s="32" t="str">
        <f t="shared" si="26"/>
        <v>-</v>
      </c>
      <c r="S39" s="29" t="str">
        <f t="shared" si="16"/>
        <v>-</v>
      </c>
      <c r="T39" s="33" t="str">
        <f t="shared" si="17"/>
        <v>-</v>
      </c>
      <c r="U39" s="33" t="str">
        <f t="shared" si="18"/>
        <v>-</v>
      </c>
      <c r="V39" s="34" t="str">
        <f t="shared" si="19"/>
        <v>-</v>
      </c>
      <c r="W39" s="33" t="str">
        <f t="shared" si="20"/>
        <v>-</v>
      </c>
      <c r="X39" s="15"/>
      <c r="Y39" s="35" t="str">
        <f t="shared" si="27"/>
        <v>-</v>
      </c>
      <c r="Z39" s="36" t="str">
        <f t="shared" si="21"/>
        <v>-</v>
      </c>
      <c r="AA39" s="37"/>
      <c r="AB39" s="37"/>
    </row>
    <row r="40" spans="2:28" ht="18" customHeight="1" x14ac:dyDescent="0.3">
      <c r="B40" s="45"/>
      <c r="C40" s="46"/>
      <c r="D40" s="38" t="str">
        <f t="shared" si="22"/>
        <v>-</v>
      </c>
      <c r="E40" s="46"/>
      <c r="F40" s="46"/>
      <c r="G40" s="46"/>
      <c r="I40" s="38" t="str">
        <f t="shared" si="14"/>
        <v>-</v>
      </c>
      <c r="J40" s="38" t="str">
        <f t="shared" si="15"/>
        <v>-</v>
      </c>
      <c r="K40" s="15"/>
      <c r="L40" s="46"/>
      <c r="M40" s="38" t="str">
        <f t="shared" si="23"/>
        <v>-</v>
      </c>
      <c r="N40" s="39" t="str">
        <f t="shared" si="24"/>
        <v>-</v>
      </c>
      <c r="P40" s="31"/>
      <c r="Q40" s="29" t="str">
        <f t="shared" si="25"/>
        <v>-</v>
      </c>
      <c r="R40" s="32" t="str">
        <f t="shared" si="26"/>
        <v>-</v>
      </c>
      <c r="S40" s="29" t="str">
        <f t="shared" si="16"/>
        <v>-</v>
      </c>
      <c r="T40" s="40" t="str">
        <f t="shared" si="17"/>
        <v>-</v>
      </c>
      <c r="U40" s="40" t="str">
        <f t="shared" si="18"/>
        <v>-</v>
      </c>
      <c r="V40" s="41" t="str">
        <f t="shared" si="19"/>
        <v>-</v>
      </c>
      <c r="W40" s="40" t="str">
        <f t="shared" si="20"/>
        <v>-</v>
      </c>
      <c r="X40" s="15"/>
      <c r="Y40" s="35" t="str">
        <f t="shared" si="27"/>
        <v>-</v>
      </c>
      <c r="Z40" s="36" t="str">
        <f t="shared" si="21"/>
        <v>-</v>
      </c>
      <c r="AA40" s="37"/>
      <c r="AB40" s="37"/>
    </row>
    <row r="41" spans="2:28" ht="18" customHeight="1" x14ac:dyDescent="0.3">
      <c r="B41" s="43"/>
      <c r="C41" s="44"/>
      <c r="D41" s="28" t="str">
        <f t="shared" si="22"/>
        <v>-</v>
      </c>
      <c r="E41" s="44"/>
      <c r="F41" s="44"/>
      <c r="G41" s="44"/>
      <c r="I41" s="28" t="str">
        <f t="shared" si="14"/>
        <v>-</v>
      </c>
      <c r="J41" s="28" t="str">
        <f t="shared" si="15"/>
        <v>-</v>
      </c>
      <c r="K41" s="15"/>
      <c r="L41" s="44"/>
      <c r="M41" s="28" t="str">
        <f t="shared" si="23"/>
        <v>-</v>
      </c>
      <c r="N41" s="42" t="str">
        <f t="shared" si="24"/>
        <v>-</v>
      </c>
      <c r="P41" s="31"/>
      <c r="Q41" s="29" t="str">
        <f t="shared" si="25"/>
        <v>-</v>
      </c>
      <c r="R41" s="32" t="str">
        <f t="shared" si="26"/>
        <v>-</v>
      </c>
      <c r="S41" s="29" t="str">
        <f t="shared" si="16"/>
        <v>-</v>
      </c>
      <c r="T41" s="33" t="str">
        <f t="shared" si="17"/>
        <v>-</v>
      </c>
      <c r="U41" s="33" t="str">
        <f t="shared" si="18"/>
        <v>-</v>
      </c>
      <c r="V41" s="34" t="str">
        <f t="shared" si="19"/>
        <v>-</v>
      </c>
      <c r="W41" s="33" t="str">
        <f t="shared" si="20"/>
        <v>-</v>
      </c>
      <c r="X41" s="15"/>
      <c r="Y41" s="35" t="str">
        <f t="shared" si="27"/>
        <v>-</v>
      </c>
      <c r="Z41" s="36" t="str">
        <f t="shared" si="21"/>
        <v>-</v>
      </c>
      <c r="AA41" s="37"/>
      <c r="AB41" s="37"/>
    </row>
    <row r="42" spans="2:28" ht="18" customHeight="1" x14ac:dyDescent="0.3">
      <c r="B42" s="45"/>
      <c r="C42" s="46"/>
      <c r="D42" s="38" t="str">
        <f t="shared" si="22"/>
        <v>-</v>
      </c>
      <c r="E42" s="46"/>
      <c r="F42" s="46"/>
      <c r="G42" s="46"/>
      <c r="I42" s="38" t="str">
        <f t="shared" si="14"/>
        <v>-</v>
      </c>
      <c r="J42" s="38" t="str">
        <f t="shared" si="15"/>
        <v>-</v>
      </c>
      <c r="K42" s="15"/>
      <c r="L42" s="46"/>
      <c r="M42" s="38" t="str">
        <f t="shared" si="23"/>
        <v>-</v>
      </c>
      <c r="N42" s="39" t="str">
        <f t="shared" si="24"/>
        <v>-</v>
      </c>
      <c r="P42" s="31"/>
      <c r="Q42" s="29" t="str">
        <f t="shared" si="25"/>
        <v>-</v>
      </c>
      <c r="R42" s="32" t="str">
        <f t="shared" si="26"/>
        <v>-</v>
      </c>
      <c r="S42" s="29" t="str">
        <f t="shared" si="16"/>
        <v>-</v>
      </c>
      <c r="T42" s="40" t="str">
        <f t="shared" si="17"/>
        <v>-</v>
      </c>
      <c r="U42" s="40" t="str">
        <f t="shared" si="18"/>
        <v>-</v>
      </c>
      <c r="V42" s="41" t="str">
        <f t="shared" si="19"/>
        <v>-</v>
      </c>
      <c r="W42" s="40" t="str">
        <f t="shared" si="20"/>
        <v>-</v>
      </c>
      <c r="X42" s="15"/>
      <c r="Y42" s="35" t="str">
        <f t="shared" si="27"/>
        <v>-</v>
      </c>
      <c r="Z42" s="36" t="str">
        <f t="shared" si="21"/>
        <v>-</v>
      </c>
      <c r="AA42" s="37"/>
      <c r="AB42" s="37"/>
    </row>
    <row r="43" spans="2:28" ht="18" customHeight="1" x14ac:dyDescent="0.3">
      <c r="B43" s="43"/>
      <c r="C43" s="44"/>
      <c r="D43" s="28" t="str">
        <f t="shared" si="22"/>
        <v>-</v>
      </c>
      <c r="E43" s="44"/>
      <c r="F43" s="44"/>
      <c r="G43" s="44"/>
      <c r="I43" s="28" t="str">
        <f t="shared" si="14"/>
        <v>-</v>
      </c>
      <c r="J43" s="28" t="str">
        <f t="shared" si="15"/>
        <v>-</v>
      </c>
      <c r="K43" s="15"/>
      <c r="L43" s="44"/>
      <c r="M43" s="28" t="str">
        <f t="shared" si="23"/>
        <v>-</v>
      </c>
      <c r="N43" s="42" t="str">
        <f t="shared" si="24"/>
        <v>-</v>
      </c>
      <c r="P43" s="31"/>
      <c r="Q43" s="29" t="str">
        <f t="shared" si="25"/>
        <v>-</v>
      </c>
      <c r="R43" s="32" t="str">
        <f t="shared" si="26"/>
        <v>-</v>
      </c>
      <c r="S43" s="29" t="str">
        <f t="shared" si="16"/>
        <v>-</v>
      </c>
      <c r="T43" s="33" t="str">
        <f t="shared" si="17"/>
        <v>-</v>
      </c>
      <c r="U43" s="33" t="str">
        <f t="shared" si="18"/>
        <v>-</v>
      </c>
      <c r="V43" s="34" t="str">
        <f t="shared" si="19"/>
        <v>-</v>
      </c>
      <c r="W43" s="33" t="str">
        <f t="shared" si="20"/>
        <v>-</v>
      </c>
      <c r="X43" s="15"/>
      <c r="Y43" s="35" t="str">
        <f t="shared" si="27"/>
        <v>-</v>
      </c>
      <c r="Z43" s="36" t="str">
        <f t="shared" si="21"/>
        <v>-</v>
      </c>
      <c r="AA43" s="37"/>
      <c r="AB43" s="37"/>
    </row>
    <row r="44" spans="2:28" ht="18" customHeight="1" x14ac:dyDescent="0.3">
      <c r="B44" s="45"/>
      <c r="C44" s="46"/>
      <c r="D44" s="38" t="str">
        <f t="shared" si="22"/>
        <v>-</v>
      </c>
      <c r="E44" s="46"/>
      <c r="F44" s="46"/>
      <c r="G44" s="46"/>
      <c r="I44" s="38" t="str">
        <f t="shared" si="14"/>
        <v>-</v>
      </c>
      <c r="J44" s="38" t="str">
        <f t="shared" si="15"/>
        <v>-</v>
      </c>
      <c r="K44" s="15"/>
      <c r="L44" s="46"/>
      <c r="M44" s="38" t="str">
        <f t="shared" si="23"/>
        <v>-</v>
      </c>
      <c r="N44" s="39" t="str">
        <f t="shared" si="24"/>
        <v>-</v>
      </c>
      <c r="P44" s="31"/>
      <c r="Q44" s="29" t="str">
        <f t="shared" si="25"/>
        <v>-</v>
      </c>
      <c r="R44" s="32" t="str">
        <f t="shared" si="26"/>
        <v>-</v>
      </c>
      <c r="S44" s="29" t="str">
        <f t="shared" si="16"/>
        <v>-</v>
      </c>
      <c r="T44" s="40" t="str">
        <f t="shared" si="17"/>
        <v>-</v>
      </c>
      <c r="U44" s="40" t="str">
        <f t="shared" si="18"/>
        <v>-</v>
      </c>
      <c r="V44" s="41" t="str">
        <f t="shared" si="19"/>
        <v>-</v>
      </c>
      <c r="W44" s="40" t="str">
        <f t="shared" si="20"/>
        <v>-</v>
      </c>
      <c r="X44" s="15"/>
      <c r="Y44" s="35" t="str">
        <f t="shared" si="27"/>
        <v>-</v>
      </c>
      <c r="Z44" s="36" t="str">
        <f t="shared" si="21"/>
        <v>-</v>
      </c>
      <c r="AA44" s="37"/>
      <c r="AB44" s="37"/>
    </row>
    <row r="45" spans="2:28" ht="18" customHeight="1" x14ac:dyDescent="0.3">
      <c r="B45" s="43"/>
      <c r="C45" s="44"/>
      <c r="D45" s="28" t="str">
        <f t="shared" si="22"/>
        <v>-</v>
      </c>
      <c r="E45" s="44"/>
      <c r="F45" s="44"/>
      <c r="G45" s="44"/>
      <c r="I45" s="28" t="str">
        <f t="shared" si="14"/>
        <v>-</v>
      </c>
      <c r="J45" s="28" t="str">
        <f t="shared" si="15"/>
        <v>-</v>
      </c>
      <c r="K45" s="15"/>
      <c r="L45" s="44"/>
      <c r="M45" s="28" t="str">
        <f t="shared" si="23"/>
        <v>-</v>
      </c>
      <c r="N45" s="42" t="str">
        <f t="shared" si="24"/>
        <v>-</v>
      </c>
      <c r="P45" s="31"/>
      <c r="Q45" s="29" t="str">
        <f t="shared" si="25"/>
        <v>-</v>
      </c>
      <c r="R45" s="32" t="str">
        <f t="shared" si="26"/>
        <v>-</v>
      </c>
      <c r="S45" s="29" t="str">
        <f t="shared" si="16"/>
        <v>-</v>
      </c>
      <c r="T45" s="33" t="str">
        <f t="shared" si="17"/>
        <v>-</v>
      </c>
      <c r="U45" s="33" t="str">
        <f t="shared" si="18"/>
        <v>-</v>
      </c>
      <c r="V45" s="34" t="str">
        <f t="shared" si="19"/>
        <v>-</v>
      </c>
      <c r="W45" s="33" t="str">
        <f t="shared" si="20"/>
        <v>-</v>
      </c>
      <c r="X45" s="15"/>
      <c r="Y45" s="35" t="str">
        <f t="shared" si="27"/>
        <v>-</v>
      </c>
      <c r="Z45" s="36" t="str">
        <f t="shared" si="21"/>
        <v>-</v>
      </c>
      <c r="AA45" s="37"/>
      <c r="AB45" s="37"/>
    </row>
    <row r="46" spans="2:28" ht="18" customHeight="1" x14ac:dyDescent="0.3">
      <c r="B46" s="45"/>
      <c r="C46" s="46"/>
      <c r="D46" s="38" t="str">
        <f t="shared" si="22"/>
        <v>-</v>
      </c>
      <c r="E46" s="46"/>
      <c r="F46" s="46"/>
      <c r="G46" s="46"/>
      <c r="I46" s="38" t="str">
        <f t="shared" si="14"/>
        <v>-</v>
      </c>
      <c r="J46" s="38" t="str">
        <f t="shared" si="15"/>
        <v>-</v>
      </c>
      <c r="K46" s="15"/>
      <c r="L46" s="46"/>
      <c r="M46" s="38" t="str">
        <f t="shared" si="23"/>
        <v>-</v>
      </c>
      <c r="N46" s="39" t="str">
        <f t="shared" si="24"/>
        <v>-</v>
      </c>
      <c r="P46" s="31"/>
      <c r="Q46" s="29" t="str">
        <f t="shared" si="25"/>
        <v>-</v>
      </c>
      <c r="R46" s="32" t="str">
        <f t="shared" si="26"/>
        <v>-</v>
      </c>
      <c r="S46" s="29" t="str">
        <f t="shared" si="16"/>
        <v>-</v>
      </c>
      <c r="T46" s="40" t="str">
        <f t="shared" si="17"/>
        <v>-</v>
      </c>
      <c r="U46" s="40" t="str">
        <f t="shared" si="18"/>
        <v>-</v>
      </c>
      <c r="V46" s="41" t="str">
        <f t="shared" si="19"/>
        <v>-</v>
      </c>
      <c r="W46" s="40" t="str">
        <f t="shared" si="20"/>
        <v>-</v>
      </c>
      <c r="X46" s="15"/>
      <c r="Y46" s="35" t="str">
        <f t="shared" si="27"/>
        <v>-</v>
      </c>
      <c r="Z46" s="36" t="str">
        <f t="shared" si="21"/>
        <v>-</v>
      </c>
      <c r="AA46" s="37"/>
      <c r="AB46" s="37"/>
    </row>
    <row r="47" spans="2:28" ht="18" customHeight="1" x14ac:dyDescent="0.3">
      <c r="B47" s="43"/>
      <c r="C47" s="44"/>
      <c r="D47" s="28" t="str">
        <f t="shared" si="22"/>
        <v>-</v>
      </c>
      <c r="E47" s="44"/>
      <c r="F47" s="44"/>
      <c r="G47" s="44"/>
      <c r="I47" s="28" t="str">
        <f t="shared" si="14"/>
        <v>-</v>
      </c>
      <c r="J47" s="28" t="str">
        <f t="shared" si="15"/>
        <v>-</v>
      </c>
      <c r="K47" s="15"/>
      <c r="L47" s="44"/>
      <c r="M47" s="28" t="str">
        <f t="shared" si="23"/>
        <v>-</v>
      </c>
      <c r="N47" s="42" t="str">
        <f t="shared" si="24"/>
        <v>-</v>
      </c>
      <c r="P47" s="31"/>
      <c r="Q47" s="29" t="str">
        <f t="shared" si="25"/>
        <v>-</v>
      </c>
      <c r="R47" s="32" t="str">
        <f t="shared" si="26"/>
        <v>-</v>
      </c>
      <c r="S47" s="29" t="str">
        <f t="shared" si="16"/>
        <v>-</v>
      </c>
      <c r="T47" s="33" t="str">
        <f t="shared" si="17"/>
        <v>-</v>
      </c>
      <c r="U47" s="33" t="str">
        <f t="shared" si="18"/>
        <v>-</v>
      </c>
      <c r="V47" s="34" t="str">
        <f t="shared" si="19"/>
        <v>-</v>
      </c>
      <c r="W47" s="33" t="str">
        <f t="shared" si="20"/>
        <v>-</v>
      </c>
      <c r="X47" s="15"/>
      <c r="Y47" s="35" t="str">
        <f t="shared" si="27"/>
        <v>-</v>
      </c>
      <c r="Z47" s="36" t="str">
        <f t="shared" si="21"/>
        <v>-</v>
      </c>
      <c r="AA47" s="37"/>
      <c r="AB47" s="37"/>
    </row>
    <row r="48" spans="2:28" ht="18" customHeight="1" x14ac:dyDescent="0.3">
      <c r="B48" s="45"/>
      <c r="C48" s="46"/>
      <c r="D48" s="38" t="str">
        <f t="shared" si="22"/>
        <v>-</v>
      </c>
      <c r="E48" s="46"/>
      <c r="F48" s="46"/>
      <c r="G48" s="46"/>
      <c r="I48" s="38" t="str">
        <f t="shared" si="14"/>
        <v>-</v>
      </c>
      <c r="J48" s="38" t="str">
        <f t="shared" si="15"/>
        <v>-</v>
      </c>
      <c r="K48" s="15"/>
      <c r="L48" s="46"/>
      <c r="M48" s="38" t="str">
        <f t="shared" si="23"/>
        <v>-</v>
      </c>
      <c r="N48" s="39" t="str">
        <f t="shared" si="24"/>
        <v>-</v>
      </c>
      <c r="P48" s="31"/>
      <c r="Q48" s="29" t="str">
        <f t="shared" si="25"/>
        <v>-</v>
      </c>
      <c r="R48" s="32" t="str">
        <f t="shared" si="26"/>
        <v>-</v>
      </c>
      <c r="S48" s="29" t="str">
        <f t="shared" si="16"/>
        <v>-</v>
      </c>
      <c r="T48" s="40" t="str">
        <f t="shared" si="17"/>
        <v>-</v>
      </c>
      <c r="U48" s="40" t="str">
        <f t="shared" si="18"/>
        <v>-</v>
      </c>
      <c r="V48" s="41" t="str">
        <f t="shared" si="19"/>
        <v>-</v>
      </c>
      <c r="W48" s="40" t="str">
        <f t="shared" si="20"/>
        <v>-</v>
      </c>
      <c r="X48" s="15"/>
      <c r="Y48" s="35" t="str">
        <f t="shared" si="27"/>
        <v>-</v>
      </c>
      <c r="Z48" s="36" t="str">
        <f t="shared" si="21"/>
        <v>-</v>
      </c>
      <c r="AA48" s="37"/>
      <c r="AB48" s="37"/>
    </row>
    <row r="49" spans="2:28" ht="18" customHeight="1" x14ac:dyDescent="0.3">
      <c r="B49" s="43"/>
      <c r="C49" s="44"/>
      <c r="D49" s="28" t="str">
        <f t="shared" si="22"/>
        <v>-</v>
      </c>
      <c r="E49" s="44"/>
      <c r="F49" s="44"/>
      <c r="G49" s="44"/>
      <c r="I49" s="28" t="str">
        <f t="shared" si="14"/>
        <v>-</v>
      </c>
      <c r="J49" s="28" t="str">
        <f t="shared" si="15"/>
        <v>-</v>
      </c>
      <c r="K49" s="15"/>
      <c r="L49" s="44"/>
      <c r="M49" s="28" t="str">
        <f t="shared" si="23"/>
        <v>-</v>
      </c>
      <c r="N49" s="42" t="str">
        <f t="shared" si="24"/>
        <v>-</v>
      </c>
      <c r="P49" s="31"/>
      <c r="Q49" s="29" t="str">
        <f t="shared" si="25"/>
        <v>-</v>
      </c>
      <c r="R49" s="32" t="str">
        <f t="shared" si="26"/>
        <v>-</v>
      </c>
      <c r="S49" s="29" t="str">
        <f t="shared" si="16"/>
        <v>-</v>
      </c>
      <c r="T49" s="33" t="str">
        <f t="shared" si="17"/>
        <v>-</v>
      </c>
      <c r="U49" s="33" t="str">
        <f t="shared" si="18"/>
        <v>-</v>
      </c>
      <c r="V49" s="34" t="str">
        <f t="shared" si="19"/>
        <v>-</v>
      </c>
      <c r="W49" s="33" t="str">
        <f t="shared" si="20"/>
        <v>-</v>
      </c>
      <c r="X49" s="15"/>
      <c r="Y49" s="35" t="str">
        <f t="shared" si="27"/>
        <v>-</v>
      </c>
      <c r="Z49" s="36" t="str">
        <f t="shared" si="21"/>
        <v>-</v>
      </c>
      <c r="AA49" s="37"/>
      <c r="AB49" s="37"/>
    </row>
    <row r="50" spans="2:28" ht="18" customHeight="1" x14ac:dyDescent="0.3">
      <c r="B50" s="45"/>
      <c r="C50" s="46"/>
      <c r="D50" s="38" t="str">
        <f t="shared" si="22"/>
        <v>-</v>
      </c>
      <c r="E50" s="46"/>
      <c r="F50" s="46"/>
      <c r="G50" s="46"/>
      <c r="I50" s="38" t="str">
        <f t="shared" si="14"/>
        <v>-</v>
      </c>
      <c r="J50" s="38" t="str">
        <f t="shared" si="15"/>
        <v>-</v>
      </c>
      <c r="K50" s="15"/>
      <c r="L50" s="46"/>
      <c r="M50" s="38" t="str">
        <f t="shared" si="23"/>
        <v>-</v>
      </c>
      <c r="N50" s="39" t="str">
        <f t="shared" si="24"/>
        <v>-</v>
      </c>
      <c r="P50" s="31"/>
      <c r="Q50" s="29" t="str">
        <f t="shared" si="25"/>
        <v>-</v>
      </c>
      <c r="R50" s="32" t="str">
        <f t="shared" si="26"/>
        <v>-</v>
      </c>
      <c r="S50" s="29" t="str">
        <f t="shared" si="16"/>
        <v>-</v>
      </c>
      <c r="T50" s="40" t="str">
        <f t="shared" si="17"/>
        <v>-</v>
      </c>
      <c r="U50" s="40" t="str">
        <f t="shared" si="18"/>
        <v>-</v>
      </c>
      <c r="V50" s="41" t="str">
        <f t="shared" si="19"/>
        <v>-</v>
      </c>
      <c r="W50" s="40" t="str">
        <f t="shared" si="20"/>
        <v>-</v>
      </c>
      <c r="X50" s="15"/>
      <c r="Y50" s="35" t="str">
        <f t="shared" si="27"/>
        <v>-</v>
      </c>
      <c r="Z50" s="36" t="str">
        <f t="shared" si="21"/>
        <v>-</v>
      </c>
      <c r="AA50" s="37"/>
      <c r="AB50" s="37"/>
    </row>
    <row r="51" spans="2:28" ht="18" customHeight="1" x14ac:dyDescent="0.3">
      <c r="B51" s="43"/>
      <c r="C51" s="44"/>
      <c r="D51" s="28" t="str">
        <f t="shared" si="22"/>
        <v>-</v>
      </c>
      <c r="E51" s="44"/>
      <c r="F51" s="44"/>
      <c r="G51" s="44"/>
      <c r="I51" s="28" t="str">
        <f t="shared" si="14"/>
        <v>-</v>
      </c>
      <c r="J51" s="28" t="str">
        <f t="shared" si="15"/>
        <v>-</v>
      </c>
      <c r="K51" s="15"/>
      <c r="L51" s="44"/>
      <c r="M51" s="28" t="str">
        <f t="shared" si="23"/>
        <v>-</v>
      </c>
      <c r="N51" s="42" t="str">
        <f t="shared" si="24"/>
        <v>-</v>
      </c>
      <c r="P51" s="31"/>
      <c r="Q51" s="29" t="str">
        <f t="shared" si="25"/>
        <v>-</v>
      </c>
      <c r="R51" s="32" t="str">
        <f t="shared" si="26"/>
        <v>-</v>
      </c>
      <c r="S51" s="29" t="str">
        <f t="shared" si="16"/>
        <v>-</v>
      </c>
      <c r="T51" s="33" t="str">
        <f t="shared" si="17"/>
        <v>-</v>
      </c>
      <c r="U51" s="33" t="str">
        <f t="shared" si="18"/>
        <v>-</v>
      </c>
      <c r="V51" s="34" t="str">
        <f t="shared" si="19"/>
        <v>-</v>
      </c>
      <c r="W51" s="33" t="str">
        <f t="shared" si="20"/>
        <v>-</v>
      </c>
      <c r="X51" s="15"/>
      <c r="Y51" s="35" t="str">
        <f t="shared" si="27"/>
        <v>-</v>
      </c>
      <c r="Z51" s="36" t="str">
        <f t="shared" si="21"/>
        <v>-</v>
      </c>
      <c r="AA51" s="37"/>
      <c r="AB51" s="37"/>
    </row>
    <row r="52" spans="2:28" ht="18" customHeight="1" x14ac:dyDescent="0.3">
      <c r="B52" s="45"/>
      <c r="C52" s="46"/>
      <c r="D52" s="38" t="str">
        <f t="shared" si="22"/>
        <v>-</v>
      </c>
      <c r="E52" s="46"/>
      <c r="F52" s="46"/>
      <c r="G52" s="46"/>
      <c r="I52" s="38" t="str">
        <f t="shared" si="14"/>
        <v>-</v>
      </c>
      <c r="J52" s="38" t="str">
        <f t="shared" si="15"/>
        <v>-</v>
      </c>
      <c r="K52" s="15"/>
      <c r="L52" s="46"/>
      <c r="M52" s="38" t="str">
        <f t="shared" si="23"/>
        <v>-</v>
      </c>
      <c r="N52" s="39" t="str">
        <f t="shared" si="24"/>
        <v>-</v>
      </c>
      <c r="P52" s="31"/>
      <c r="Q52" s="29" t="str">
        <f t="shared" si="25"/>
        <v>-</v>
      </c>
      <c r="R52" s="32" t="str">
        <f t="shared" si="26"/>
        <v>-</v>
      </c>
      <c r="S52" s="29" t="str">
        <f t="shared" si="16"/>
        <v>-</v>
      </c>
      <c r="T52" s="40" t="str">
        <f t="shared" si="17"/>
        <v>-</v>
      </c>
      <c r="U52" s="40" t="str">
        <f t="shared" si="18"/>
        <v>-</v>
      </c>
      <c r="V52" s="41" t="str">
        <f t="shared" si="19"/>
        <v>-</v>
      </c>
      <c r="W52" s="40" t="str">
        <f t="shared" si="20"/>
        <v>-</v>
      </c>
      <c r="X52" s="15"/>
      <c r="Y52" s="35" t="str">
        <f t="shared" si="27"/>
        <v>-</v>
      </c>
      <c r="Z52" s="36" t="str">
        <f t="shared" si="21"/>
        <v>-</v>
      </c>
      <c r="AA52" s="37"/>
      <c r="AB52" s="37"/>
    </row>
    <row r="53" spans="2:28" ht="18" customHeight="1" x14ac:dyDescent="0.3">
      <c r="B53" s="43"/>
      <c r="C53" s="44"/>
      <c r="D53" s="28" t="str">
        <f t="shared" si="22"/>
        <v>-</v>
      </c>
      <c r="E53" s="44"/>
      <c r="F53" s="44"/>
      <c r="G53" s="44"/>
      <c r="I53" s="28" t="str">
        <f t="shared" si="14"/>
        <v>-</v>
      </c>
      <c r="J53" s="28" t="str">
        <f t="shared" si="15"/>
        <v>-</v>
      </c>
      <c r="K53" s="15"/>
      <c r="L53" s="44"/>
      <c r="M53" s="28" t="str">
        <f t="shared" si="23"/>
        <v>-</v>
      </c>
      <c r="N53" s="42" t="str">
        <f t="shared" si="24"/>
        <v>-</v>
      </c>
      <c r="P53" s="31"/>
      <c r="Q53" s="29" t="str">
        <f t="shared" si="25"/>
        <v>-</v>
      </c>
      <c r="R53" s="32" t="str">
        <f t="shared" si="26"/>
        <v>-</v>
      </c>
      <c r="S53" s="29" t="str">
        <f t="shared" si="16"/>
        <v>-</v>
      </c>
      <c r="T53" s="33" t="str">
        <f t="shared" si="17"/>
        <v>-</v>
      </c>
      <c r="U53" s="33" t="str">
        <f t="shared" si="18"/>
        <v>-</v>
      </c>
      <c r="V53" s="34" t="str">
        <f t="shared" si="19"/>
        <v>-</v>
      </c>
      <c r="W53" s="33" t="str">
        <f t="shared" si="20"/>
        <v>-</v>
      </c>
      <c r="X53" s="15"/>
      <c r="Y53" s="35" t="str">
        <f t="shared" si="27"/>
        <v>-</v>
      </c>
      <c r="Z53" s="36" t="str">
        <f t="shared" si="21"/>
        <v>-</v>
      </c>
      <c r="AA53" s="37"/>
      <c r="AB53" s="37"/>
    </row>
    <row r="54" spans="2:28" ht="18" customHeight="1" x14ac:dyDescent="0.3">
      <c r="B54" s="45"/>
      <c r="C54" s="46"/>
      <c r="D54" s="38" t="str">
        <f t="shared" si="22"/>
        <v>-</v>
      </c>
      <c r="E54" s="46"/>
      <c r="F54" s="46"/>
      <c r="G54" s="46"/>
      <c r="I54" s="38" t="str">
        <f t="shared" si="14"/>
        <v>-</v>
      </c>
      <c r="J54" s="38" t="str">
        <f t="shared" si="15"/>
        <v>-</v>
      </c>
      <c r="K54" s="15"/>
      <c r="L54" s="46"/>
      <c r="M54" s="38" t="str">
        <f t="shared" si="23"/>
        <v>-</v>
      </c>
      <c r="N54" s="39" t="str">
        <f t="shared" si="24"/>
        <v>-</v>
      </c>
      <c r="P54" s="31"/>
      <c r="Q54" s="29" t="str">
        <f t="shared" si="25"/>
        <v>-</v>
      </c>
      <c r="R54" s="32" t="str">
        <f t="shared" si="26"/>
        <v>-</v>
      </c>
      <c r="S54" s="29" t="str">
        <f t="shared" si="16"/>
        <v>-</v>
      </c>
      <c r="T54" s="40" t="str">
        <f t="shared" si="17"/>
        <v>-</v>
      </c>
      <c r="U54" s="40" t="str">
        <f t="shared" si="18"/>
        <v>-</v>
      </c>
      <c r="V54" s="41" t="str">
        <f t="shared" si="19"/>
        <v>-</v>
      </c>
      <c r="W54" s="40" t="str">
        <f t="shared" si="20"/>
        <v>-</v>
      </c>
      <c r="X54" s="15"/>
      <c r="Y54" s="35" t="str">
        <f t="shared" si="27"/>
        <v>-</v>
      </c>
      <c r="Z54" s="36" t="str">
        <f t="shared" si="21"/>
        <v>-</v>
      </c>
      <c r="AA54" s="37"/>
      <c r="AB54" s="37"/>
    </row>
    <row r="55" spans="2:28" ht="18" customHeight="1" x14ac:dyDescent="0.3">
      <c r="B55" s="43"/>
      <c r="C55" s="44"/>
      <c r="D55" s="28" t="str">
        <f t="shared" si="22"/>
        <v>-</v>
      </c>
      <c r="E55" s="44"/>
      <c r="F55" s="44"/>
      <c r="G55" s="44"/>
      <c r="I55" s="28" t="str">
        <f t="shared" si="14"/>
        <v>-</v>
      </c>
      <c r="J55" s="28" t="str">
        <f t="shared" si="15"/>
        <v>-</v>
      </c>
      <c r="K55" s="15"/>
      <c r="L55" s="44"/>
      <c r="M55" s="28" t="str">
        <f t="shared" si="23"/>
        <v>-</v>
      </c>
      <c r="N55" s="42" t="str">
        <f t="shared" si="24"/>
        <v>-</v>
      </c>
      <c r="P55" s="31"/>
      <c r="Q55" s="29" t="str">
        <f t="shared" si="25"/>
        <v>-</v>
      </c>
      <c r="R55" s="32" t="str">
        <f t="shared" si="26"/>
        <v>-</v>
      </c>
      <c r="S55" s="29" t="str">
        <f t="shared" si="16"/>
        <v>-</v>
      </c>
      <c r="T55" s="33" t="str">
        <f t="shared" si="17"/>
        <v>-</v>
      </c>
      <c r="U55" s="33" t="str">
        <f t="shared" si="18"/>
        <v>-</v>
      </c>
      <c r="V55" s="34" t="str">
        <f t="shared" si="19"/>
        <v>-</v>
      </c>
      <c r="W55" s="33" t="str">
        <f t="shared" si="20"/>
        <v>-</v>
      </c>
      <c r="X55" s="15"/>
      <c r="Y55" s="35" t="str">
        <f t="shared" si="27"/>
        <v>-</v>
      </c>
      <c r="Z55" s="36" t="str">
        <f t="shared" si="21"/>
        <v>-</v>
      </c>
      <c r="AA55" s="37"/>
      <c r="AB55" s="37"/>
    </row>
    <row r="56" spans="2:28" ht="18" customHeight="1" x14ac:dyDescent="0.3">
      <c r="B56" s="45"/>
      <c r="C56" s="46"/>
      <c r="D56" s="38" t="str">
        <f t="shared" si="22"/>
        <v>-</v>
      </c>
      <c r="E56" s="46"/>
      <c r="F56" s="46"/>
      <c r="G56" s="46"/>
      <c r="I56" s="38" t="str">
        <f t="shared" si="14"/>
        <v>-</v>
      </c>
      <c r="J56" s="38" t="str">
        <f t="shared" si="15"/>
        <v>-</v>
      </c>
      <c r="K56" s="15"/>
      <c r="L56" s="46"/>
      <c r="M56" s="38" t="str">
        <f t="shared" si="23"/>
        <v>-</v>
      </c>
      <c r="N56" s="39" t="str">
        <f t="shared" si="24"/>
        <v>-</v>
      </c>
      <c r="P56" s="31"/>
      <c r="Q56" s="29" t="str">
        <f t="shared" si="25"/>
        <v>-</v>
      </c>
      <c r="R56" s="32" t="str">
        <f t="shared" si="26"/>
        <v>-</v>
      </c>
      <c r="S56" s="29" t="str">
        <f t="shared" si="16"/>
        <v>-</v>
      </c>
      <c r="T56" s="40" t="str">
        <f t="shared" si="17"/>
        <v>-</v>
      </c>
      <c r="U56" s="40" t="str">
        <f t="shared" si="18"/>
        <v>-</v>
      </c>
      <c r="V56" s="41" t="str">
        <f t="shared" si="19"/>
        <v>-</v>
      </c>
      <c r="W56" s="40" t="str">
        <f t="shared" si="20"/>
        <v>-</v>
      </c>
      <c r="X56" s="15"/>
      <c r="Y56" s="35" t="str">
        <f t="shared" si="27"/>
        <v>-</v>
      </c>
      <c r="Z56" s="36" t="str">
        <f t="shared" si="21"/>
        <v>-</v>
      </c>
      <c r="AA56" s="37"/>
      <c r="AB56" s="37"/>
    </row>
    <row r="57" spans="2:28" ht="18" customHeight="1" x14ac:dyDescent="0.3">
      <c r="B57" s="43"/>
      <c r="C57" s="44"/>
      <c r="D57" s="28" t="str">
        <f t="shared" si="22"/>
        <v>-</v>
      </c>
      <c r="E57" s="44"/>
      <c r="F57" s="44"/>
      <c r="G57" s="44"/>
      <c r="I57" s="28" t="str">
        <f t="shared" si="14"/>
        <v>-</v>
      </c>
      <c r="J57" s="28" t="str">
        <f t="shared" si="15"/>
        <v>-</v>
      </c>
      <c r="K57" s="15"/>
      <c r="L57" s="44"/>
      <c r="M57" s="28" t="str">
        <f t="shared" si="23"/>
        <v>-</v>
      </c>
      <c r="N57" s="42" t="str">
        <f t="shared" si="24"/>
        <v>-</v>
      </c>
      <c r="P57" s="31"/>
      <c r="Q57" s="29" t="str">
        <f t="shared" si="25"/>
        <v>-</v>
      </c>
      <c r="R57" s="32" t="str">
        <f t="shared" si="26"/>
        <v>-</v>
      </c>
      <c r="S57" s="29" t="str">
        <f t="shared" si="16"/>
        <v>-</v>
      </c>
      <c r="T57" s="33" t="str">
        <f t="shared" si="17"/>
        <v>-</v>
      </c>
      <c r="U57" s="33" t="str">
        <f t="shared" si="18"/>
        <v>-</v>
      </c>
      <c r="V57" s="34" t="str">
        <f t="shared" si="19"/>
        <v>-</v>
      </c>
      <c r="W57" s="33" t="str">
        <f t="shared" si="20"/>
        <v>-</v>
      </c>
      <c r="X57" s="15"/>
      <c r="Y57" s="35" t="str">
        <f t="shared" si="27"/>
        <v>-</v>
      </c>
      <c r="Z57" s="36" t="str">
        <f t="shared" si="21"/>
        <v>-</v>
      </c>
      <c r="AA57" s="37"/>
      <c r="AB57" s="37"/>
    </row>
    <row r="58" spans="2:28" ht="18" customHeight="1" x14ac:dyDescent="0.3">
      <c r="B58" s="45"/>
      <c r="C58" s="46"/>
      <c r="D58" s="38" t="str">
        <f t="shared" si="22"/>
        <v>-</v>
      </c>
      <c r="E58" s="46"/>
      <c r="F58" s="46"/>
      <c r="G58" s="46"/>
      <c r="I58" s="38" t="str">
        <f t="shared" si="14"/>
        <v>-</v>
      </c>
      <c r="J58" s="38" t="str">
        <f t="shared" si="15"/>
        <v>-</v>
      </c>
      <c r="K58" s="15"/>
      <c r="L58" s="46"/>
      <c r="M58" s="38" t="str">
        <f t="shared" si="23"/>
        <v>-</v>
      </c>
      <c r="N58" s="39" t="str">
        <f t="shared" si="24"/>
        <v>-</v>
      </c>
      <c r="P58" s="31"/>
      <c r="Q58" s="29" t="str">
        <f t="shared" si="25"/>
        <v>-</v>
      </c>
      <c r="R58" s="32" t="str">
        <f t="shared" si="26"/>
        <v>-</v>
      </c>
      <c r="S58" s="29" t="str">
        <f t="shared" si="16"/>
        <v>-</v>
      </c>
      <c r="T58" s="40" t="str">
        <f t="shared" si="17"/>
        <v>-</v>
      </c>
      <c r="U58" s="40" t="str">
        <f t="shared" si="18"/>
        <v>-</v>
      </c>
      <c r="V58" s="41" t="str">
        <f t="shared" si="19"/>
        <v>-</v>
      </c>
      <c r="W58" s="40" t="str">
        <f t="shared" si="20"/>
        <v>-</v>
      </c>
      <c r="X58" s="15"/>
      <c r="Y58" s="35" t="str">
        <f t="shared" si="27"/>
        <v>-</v>
      </c>
      <c r="Z58" s="36" t="str">
        <f t="shared" si="21"/>
        <v>-</v>
      </c>
      <c r="AA58" s="37"/>
      <c r="AB58" s="37"/>
    </row>
    <row r="59" spans="2:28" ht="18" customHeight="1" x14ac:dyDescent="0.3">
      <c r="B59" s="43"/>
      <c r="C59" s="44"/>
      <c r="D59" s="28" t="str">
        <f t="shared" si="22"/>
        <v>-</v>
      </c>
      <c r="E59" s="44"/>
      <c r="F59" s="44"/>
      <c r="G59" s="44"/>
      <c r="I59" s="28" t="str">
        <f t="shared" si="14"/>
        <v>-</v>
      </c>
      <c r="J59" s="28" t="str">
        <f t="shared" si="15"/>
        <v>-</v>
      </c>
      <c r="K59" s="15"/>
      <c r="L59" s="44"/>
      <c r="M59" s="28" t="str">
        <f t="shared" si="23"/>
        <v>-</v>
      </c>
      <c r="N59" s="42" t="str">
        <f t="shared" si="24"/>
        <v>-</v>
      </c>
      <c r="P59" s="31"/>
      <c r="Q59" s="29" t="str">
        <f t="shared" si="25"/>
        <v>-</v>
      </c>
      <c r="R59" s="32" t="str">
        <f t="shared" si="26"/>
        <v>-</v>
      </c>
      <c r="S59" s="29" t="str">
        <f t="shared" si="16"/>
        <v>-</v>
      </c>
      <c r="T59" s="33" t="str">
        <f t="shared" si="17"/>
        <v>-</v>
      </c>
      <c r="U59" s="33" t="str">
        <f t="shared" si="18"/>
        <v>-</v>
      </c>
      <c r="V59" s="34" t="str">
        <f t="shared" si="19"/>
        <v>-</v>
      </c>
      <c r="W59" s="33" t="str">
        <f t="shared" si="20"/>
        <v>-</v>
      </c>
      <c r="X59" s="15"/>
      <c r="Y59" s="35" t="str">
        <f t="shared" si="27"/>
        <v>-</v>
      </c>
      <c r="Z59" s="36" t="str">
        <f t="shared" si="21"/>
        <v>-</v>
      </c>
      <c r="AA59" s="37"/>
      <c r="AB59" s="37"/>
    </row>
    <row r="60" spans="2:28" ht="18" customHeight="1" x14ac:dyDescent="0.3">
      <c r="B60" s="45"/>
      <c r="C60" s="46"/>
      <c r="D60" s="38" t="str">
        <f t="shared" si="22"/>
        <v>-</v>
      </c>
      <c r="E60" s="46"/>
      <c r="F60" s="46"/>
      <c r="G60" s="46"/>
      <c r="I60" s="38" t="str">
        <f t="shared" si="14"/>
        <v>-</v>
      </c>
      <c r="J60" s="38" t="str">
        <f t="shared" si="15"/>
        <v>-</v>
      </c>
      <c r="K60" s="15"/>
      <c r="L60" s="46"/>
      <c r="M60" s="38" t="str">
        <f t="shared" si="23"/>
        <v>-</v>
      </c>
      <c r="N60" s="39" t="str">
        <f t="shared" si="24"/>
        <v>-</v>
      </c>
      <c r="P60" s="31"/>
      <c r="Q60" s="29" t="str">
        <f t="shared" si="25"/>
        <v>-</v>
      </c>
      <c r="R60" s="32" t="str">
        <f t="shared" si="26"/>
        <v>-</v>
      </c>
      <c r="S60" s="29" t="str">
        <f t="shared" si="16"/>
        <v>-</v>
      </c>
      <c r="T60" s="40" t="str">
        <f t="shared" si="17"/>
        <v>-</v>
      </c>
      <c r="U60" s="40" t="str">
        <f t="shared" si="18"/>
        <v>-</v>
      </c>
      <c r="V60" s="41" t="str">
        <f t="shared" si="19"/>
        <v>-</v>
      </c>
      <c r="W60" s="40" t="str">
        <f t="shared" si="20"/>
        <v>-</v>
      </c>
      <c r="X60" s="15"/>
      <c r="Y60" s="35" t="str">
        <f t="shared" si="27"/>
        <v>-</v>
      </c>
      <c r="Z60" s="36" t="str">
        <f t="shared" si="21"/>
        <v>-</v>
      </c>
      <c r="AA60" s="37"/>
      <c r="AB60" s="37"/>
    </row>
    <row r="61" spans="2:28" ht="18" customHeight="1" x14ac:dyDescent="0.3">
      <c r="B61" s="43"/>
      <c r="C61" s="44"/>
      <c r="D61" s="28" t="str">
        <f t="shared" si="22"/>
        <v>-</v>
      </c>
      <c r="E61" s="44"/>
      <c r="F61" s="44"/>
      <c r="G61" s="44"/>
      <c r="I61" s="28" t="str">
        <f t="shared" si="14"/>
        <v>-</v>
      </c>
      <c r="J61" s="28" t="str">
        <f t="shared" si="15"/>
        <v>-</v>
      </c>
      <c r="K61" s="15"/>
      <c r="L61" s="44"/>
      <c r="M61" s="28" t="str">
        <f t="shared" si="23"/>
        <v>-</v>
      </c>
      <c r="N61" s="42" t="str">
        <f t="shared" si="24"/>
        <v>-</v>
      </c>
      <c r="P61" s="31"/>
      <c r="Q61" s="29" t="str">
        <f t="shared" si="25"/>
        <v>-</v>
      </c>
      <c r="R61" s="32" t="str">
        <f t="shared" si="26"/>
        <v>-</v>
      </c>
      <c r="S61" s="29" t="str">
        <f t="shared" si="16"/>
        <v>-</v>
      </c>
      <c r="T61" s="33" t="str">
        <f t="shared" si="17"/>
        <v>-</v>
      </c>
      <c r="U61" s="33" t="str">
        <f t="shared" si="18"/>
        <v>-</v>
      </c>
      <c r="V61" s="34" t="str">
        <f t="shared" si="19"/>
        <v>-</v>
      </c>
      <c r="W61" s="33" t="str">
        <f t="shared" si="20"/>
        <v>-</v>
      </c>
      <c r="X61" s="15"/>
      <c r="Y61" s="35" t="str">
        <f t="shared" si="27"/>
        <v>-</v>
      </c>
      <c r="Z61" s="36" t="str">
        <f t="shared" si="21"/>
        <v>-</v>
      </c>
      <c r="AA61" s="37"/>
      <c r="AB61" s="37"/>
    </row>
    <row r="62" spans="2:28" ht="18" customHeight="1" x14ac:dyDescent="0.3">
      <c r="B62" s="45"/>
      <c r="C62" s="46"/>
      <c r="D62" s="38" t="str">
        <f t="shared" si="22"/>
        <v>-</v>
      </c>
      <c r="E62" s="46"/>
      <c r="F62" s="46"/>
      <c r="G62" s="46"/>
      <c r="I62" s="38" t="str">
        <f t="shared" si="14"/>
        <v>-</v>
      </c>
      <c r="J62" s="38" t="str">
        <f t="shared" si="15"/>
        <v>-</v>
      </c>
      <c r="K62" s="15"/>
      <c r="L62" s="46"/>
      <c r="M62" s="38" t="str">
        <f t="shared" si="23"/>
        <v>-</v>
      </c>
      <c r="N62" s="39" t="str">
        <f t="shared" si="24"/>
        <v>-</v>
      </c>
      <c r="P62" s="31"/>
      <c r="Q62" s="29" t="str">
        <f t="shared" si="25"/>
        <v>-</v>
      </c>
      <c r="R62" s="32" t="str">
        <f t="shared" si="26"/>
        <v>-</v>
      </c>
      <c r="S62" s="29" t="str">
        <f t="shared" si="16"/>
        <v>-</v>
      </c>
      <c r="T62" s="40" t="str">
        <f t="shared" si="17"/>
        <v>-</v>
      </c>
      <c r="U62" s="40" t="str">
        <f t="shared" si="18"/>
        <v>-</v>
      </c>
      <c r="V62" s="41" t="str">
        <f t="shared" si="19"/>
        <v>-</v>
      </c>
      <c r="W62" s="40" t="str">
        <f t="shared" si="20"/>
        <v>-</v>
      </c>
      <c r="X62" s="15"/>
      <c r="Y62" s="35" t="str">
        <f t="shared" si="27"/>
        <v>-</v>
      </c>
      <c r="Z62" s="36" t="str">
        <f t="shared" si="21"/>
        <v>-</v>
      </c>
      <c r="AA62" s="37"/>
      <c r="AB62" s="37"/>
    </row>
    <row r="63" spans="2:28" ht="18" customHeight="1" x14ac:dyDescent="0.3">
      <c r="B63" s="43"/>
      <c r="C63" s="44"/>
      <c r="D63" s="28" t="str">
        <f t="shared" si="22"/>
        <v>-</v>
      </c>
      <c r="E63" s="44"/>
      <c r="F63" s="44"/>
      <c r="G63" s="44"/>
      <c r="I63" s="28" t="str">
        <f t="shared" si="14"/>
        <v>-</v>
      </c>
      <c r="J63" s="28" t="str">
        <f t="shared" si="15"/>
        <v>-</v>
      </c>
      <c r="K63" s="15"/>
      <c r="L63" s="44"/>
      <c r="M63" s="28" t="str">
        <f t="shared" si="23"/>
        <v>-</v>
      </c>
      <c r="N63" s="42" t="str">
        <f t="shared" si="24"/>
        <v>-</v>
      </c>
      <c r="P63" s="31"/>
      <c r="Q63" s="29" t="str">
        <f t="shared" si="25"/>
        <v>-</v>
      </c>
      <c r="R63" s="32" t="str">
        <f t="shared" si="26"/>
        <v>-</v>
      </c>
      <c r="S63" s="29" t="str">
        <f t="shared" si="16"/>
        <v>-</v>
      </c>
      <c r="T63" s="33" t="str">
        <f t="shared" si="17"/>
        <v>-</v>
      </c>
      <c r="U63" s="33" t="str">
        <f t="shared" si="18"/>
        <v>-</v>
      </c>
      <c r="V63" s="34" t="str">
        <f t="shared" si="19"/>
        <v>-</v>
      </c>
      <c r="W63" s="33" t="str">
        <f t="shared" si="20"/>
        <v>-</v>
      </c>
      <c r="X63" s="15"/>
      <c r="Y63" s="35" t="str">
        <f t="shared" si="27"/>
        <v>-</v>
      </c>
      <c r="Z63" s="36" t="str">
        <f t="shared" si="21"/>
        <v>-</v>
      </c>
      <c r="AA63" s="37"/>
      <c r="AB63" s="37"/>
    </row>
    <row r="64" spans="2:28" ht="18" customHeight="1" x14ac:dyDescent="0.3">
      <c r="B64" s="45"/>
      <c r="C64" s="46"/>
      <c r="D64" s="38" t="str">
        <f t="shared" si="22"/>
        <v>-</v>
      </c>
      <c r="E64" s="46"/>
      <c r="F64" s="46"/>
      <c r="G64" s="46"/>
      <c r="I64" s="38" t="str">
        <f t="shared" si="14"/>
        <v>-</v>
      </c>
      <c r="J64" s="38" t="str">
        <f t="shared" si="15"/>
        <v>-</v>
      </c>
      <c r="K64" s="15"/>
      <c r="L64" s="46"/>
      <c r="M64" s="38" t="str">
        <f t="shared" si="23"/>
        <v>-</v>
      </c>
      <c r="N64" s="39" t="str">
        <f t="shared" si="24"/>
        <v>-</v>
      </c>
      <c r="P64" s="31"/>
      <c r="Q64" s="29" t="str">
        <f t="shared" si="25"/>
        <v>-</v>
      </c>
      <c r="R64" s="32" t="str">
        <f t="shared" si="26"/>
        <v>-</v>
      </c>
      <c r="S64" s="29" t="str">
        <f t="shared" si="16"/>
        <v>-</v>
      </c>
      <c r="T64" s="40" t="str">
        <f t="shared" si="17"/>
        <v>-</v>
      </c>
      <c r="U64" s="40" t="str">
        <f t="shared" si="18"/>
        <v>-</v>
      </c>
      <c r="V64" s="41" t="str">
        <f t="shared" si="19"/>
        <v>-</v>
      </c>
      <c r="W64" s="40" t="str">
        <f t="shared" si="20"/>
        <v>-</v>
      </c>
      <c r="X64" s="15"/>
      <c r="Y64" s="35" t="str">
        <f t="shared" si="27"/>
        <v>-</v>
      </c>
      <c r="Z64" s="36" t="str">
        <f t="shared" si="21"/>
        <v>-</v>
      </c>
      <c r="AA64" s="37"/>
      <c r="AB64" s="37"/>
    </row>
  </sheetData>
  <mergeCells count="7">
    <mergeCell ref="X3:Y3"/>
    <mergeCell ref="B1:W1"/>
    <mergeCell ref="B2:W2"/>
    <mergeCell ref="B3:I3"/>
    <mergeCell ref="K3:M3"/>
    <mergeCell ref="O3:R3"/>
    <mergeCell ref="T3:W3"/>
  </mergeCells>
  <conditionalFormatting sqref="C5:C64">
    <cfRule type="colorScale" priority="20">
      <colorScale>
        <cfvo type="num" val="10"/>
        <cfvo type="num" val="25"/>
        <cfvo type="num" val="45"/>
        <color rgb="FF63BE7B"/>
        <color rgb="FFFFEB84"/>
        <color rgb="FFF8696B"/>
      </colorScale>
    </cfRule>
  </conditionalFormatting>
  <conditionalFormatting sqref="K5:K64">
    <cfRule type="colorScale" priority="21">
      <colorScale>
        <cfvo type="num" val="60"/>
        <cfvo type="num" val="120"/>
        <cfvo type="num" val="160"/>
        <color rgb="FF63BE7B"/>
        <color rgb="FFFFEB84"/>
        <color rgb="FFF8696B"/>
      </colorScale>
    </cfRule>
  </conditionalFormatting>
  <conditionalFormatting sqref="O5:O64">
    <cfRule type="expression" dxfId="17" priority="2">
      <formula>$O5="EQUITY TREND"</formula>
    </cfRule>
    <cfRule type="expression" dxfId="16" priority="3">
      <formula>$O5="NORMAL"</formula>
    </cfRule>
    <cfRule type="expression" dxfId="15" priority="4">
      <formula>$O5="ELEVATED"</formula>
    </cfRule>
    <cfRule type="expression" dxfId="14" priority="5">
      <formula>$O5="HIGH STRESS"</formula>
    </cfRule>
    <cfRule type="expression" dxfId="13" priority="6">
      <formula>$O5="CRISIS"</formula>
    </cfRule>
  </conditionalFormatting>
  <conditionalFormatting sqref="P5:P64">
    <cfRule type="expression" dxfId="12" priority="7">
      <formula>$P5="NORMAL"</formula>
    </cfRule>
    <cfRule type="expression" dxfId="11" priority="8">
      <formula>$P5="ELEVATED"</formula>
    </cfRule>
    <cfRule type="expression" dxfId="10" priority="9">
      <formula>$P5="HIGH STRESS"</formula>
    </cfRule>
    <cfRule type="expression" dxfId="9" priority="10">
      <formula>$P5="CRISIS"</formula>
    </cfRule>
  </conditionalFormatting>
  <conditionalFormatting sqref="Q5:Q64">
    <cfRule type="expression" dxfId="8" priority="11">
      <formula>$Q5="✦ FULL DEPLOYMENT"</formula>
    </cfRule>
    <cfRule type="expression" dxfId="7" priority="12">
      <formula>$Q5="STANDARD OPS"</formula>
    </cfRule>
    <cfRule type="expression" dxfId="6" priority="13">
      <formula>$Q5="REDUCE / BUILD LIST"</formula>
    </cfRule>
    <cfRule type="expression" dxfId="5" priority="14">
      <formula>$Q5="QUALITY ONLY"</formula>
    </cfRule>
    <cfRule type="expression" dxfId="4" priority="15">
      <formula>$Q5="MAX CASH / WAIT"</formula>
    </cfRule>
  </conditionalFormatting>
  <conditionalFormatting sqref="R5:R64">
    <cfRule type="expression" dxfId="3" priority="16">
      <formula>$R5="HOLD"</formula>
    </cfRule>
    <cfRule type="expression" dxfId="2" priority="17">
      <formula>$R5="MONITOR"</formula>
    </cfRule>
    <cfRule type="expression" dxfId="1" priority="18">
      <formula>$R5="WAIT — MAR 25"</formula>
    </cfRule>
    <cfRule type="expression" dxfId="0" priority="19">
      <formula>$R5="STRONG BUY"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B1:H43"/>
  <sheetViews>
    <sheetView showGridLines="0" topLeftCell="A39" zoomScaleNormal="100" workbookViewId="0">
      <selection activeCell="J33" sqref="J33"/>
    </sheetView>
  </sheetViews>
  <sheetFormatPr defaultColWidth="8.6640625" defaultRowHeight="14.4" x14ac:dyDescent="0.3"/>
  <cols>
    <col min="1" max="1" width="3" customWidth="1"/>
    <col min="2" max="2" width="14" customWidth="1"/>
    <col min="3" max="3" width="20" customWidth="1"/>
    <col min="4" max="4" width="18" customWidth="1"/>
    <col min="5" max="5" width="35.77734375" customWidth="1"/>
    <col min="6" max="6" width="35" customWidth="1"/>
    <col min="7" max="7" width="23" customWidth="1"/>
    <col min="8" max="8" width="3" customWidth="1"/>
  </cols>
  <sheetData>
    <row r="1" spans="2:8" ht="27.75" customHeight="1" x14ac:dyDescent="0.3">
      <c r="B1" s="8" t="s">
        <v>34</v>
      </c>
      <c r="C1" s="8"/>
      <c r="D1" s="8"/>
      <c r="E1" s="8"/>
      <c r="F1" s="8"/>
      <c r="G1" s="8"/>
    </row>
    <row r="2" spans="2:8" ht="15.75" customHeight="1" x14ac:dyDescent="0.3">
      <c r="B2" s="13" t="s">
        <v>35</v>
      </c>
      <c r="C2" s="13"/>
      <c r="D2" s="13"/>
      <c r="E2" s="13"/>
      <c r="F2" s="13"/>
      <c r="G2" s="13"/>
    </row>
    <row r="4" spans="2:8" ht="21.75" customHeight="1" x14ac:dyDescent="0.3">
      <c r="B4" s="7" t="s">
        <v>36</v>
      </c>
      <c r="C4" s="7"/>
      <c r="D4" s="7"/>
      <c r="E4" s="7"/>
      <c r="F4" s="7"/>
      <c r="G4" s="7"/>
    </row>
    <row r="5" spans="2:8" ht="19.5" customHeight="1" x14ac:dyDescent="0.3">
      <c r="B5" s="16" t="s">
        <v>37</v>
      </c>
      <c r="C5" s="16" t="s">
        <v>38</v>
      </c>
      <c r="D5" s="16" t="s">
        <v>39</v>
      </c>
      <c r="E5" s="16" t="s">
        <v>40</v>
      </c>
      <c r="F5" s="16" t="s">
        <v>41</v>
      </c>
      <c r="G5" s="16" t="s">
        <v>42</v>
      </c>
    </row>
    <row r="6" spans="2:8" ht="21.75" customHeight="1" x14ac:dyDescent="0.3">
      <c r="B6" s="49" t="s">
        <v>43</v>
      </c>
      <c r="C6" s="49" t="s">
        <v>44</v>
      </c>
      <c r="D6" s="50" t="s">
        <v>45</v>
      </c>
      <c r="E6" s="51" t="s">
        <v>46</v>
      </c>
      <c r="F6" s="51" t="s">
        <v>47</v>
      </c>
      <c r="G6" s="49" t="s">
        <v>48</v>
      </c>
    </row>
    <row r="7" spans="2:8" ht="21.75" customHeight="1" x14ac:dyDescent="0.3">
      <c r="B7" s="52" t="s">
        <v>49</v>
      </c>
      <c r="C7" s="52" t="s">
        <v>50</v>
      </c>
      <c r="D7" s="53" t="s">
        <v>51</v>
      </c>
      <c r="E7" s="54" t="s">
        <v>52</v>
      </c>
      <c r="F7" s="54" t="s">
        <v>53</v>
      </c>
      <c r="G7" s="52" t="s">
        <v>54</v>
      </c>
    </row>
    <row r="8" spans="2:8" ht="21.75" customHeight="1" x14ac:dyDescent="0.3">
      <c r="B8" s="55" t="s">
        <v>55</v>
      </c>
      <c r="C8" s="55" t="s">
        <v>56</v>
      </c>
      <c r="D8" s="56" t="s">
        <v>57</v>
      </c>
      <c r="E8" s="57" t="s">
        <v>58</v>
      </c>
      <c r="F8" s="57" t="s">
        <v>59</v>
      </c>
      <c r="G8" s="55" t="s">
        <v>60</v>
      </c>
      <c r="H8" s="58" t="s">
        <v>61</v>
      </c>
    </row>
    <row r="9" spans="2:8" ht="21.75" customHeight="1" x14ac:dyDescent="0.3">
      <c r="B9" s="59" t="s">
        <v>62</v>
      </c>
      <c r="C9" s="59" t="s">
        <v>63</v>
      </c>
      <c r="D9" s="60" t="s">
        <v>64</v>
      </c>
      <c r="E9" s="61" t="s">
        <v>65</v>
      </c>
      <c r="F9" s="61" t="s">
        <v>66</v>
      </c>
      <c r="G9" s="59" t="s">
        <v>67</v>
      </c>
    </row>
    <row r="10" spans="2:8" ht="21.75" customHeight="1" x14ac:dyDescent="0.3">
      <c r="B10" s="62" t="s">
        <v>68</v>
      </c>
      <c r="C10" s="62" t="s">
        <v>69</v>
      </c>
      <c r="D10" s="63" t="s">
        <v>70</v>
      </c>
      <c r="E10" s="64" t="s">
        <v>71</v>
      </c>
      <c r="F10" s="64" t="s">
        <v>72</v>
      </c>
      <c r="G10" s="62" t="s">
        <v>73</v>
      </c>
    </row>
    <row r="13" spans="2:8" ht="21.75" customHeight="1" x14ac:dyDescent="0.3">
      <c r="B13" s="7" t="s">
        <v>74</v>
      </c>
      <c r="C13" s="7"/>
      <c r="D13" s="7"/>
      <c r="E13" s="7"/>
      <c r="F13" s="7"/>
      <c r="G13" s="7"/>
    </row>
    <row r="14" spans="2:8" ht="19.5" customHeight="1" x14ac:dyDescent="0.3">
      <c r="B14" s="65" t="s">
        <v>75</v>
      </c>
      <c r="C14" s="65" t="s">
        <v>76</v>
      </c>
      <c r="D14" s="65" t="s">
        <v>39</v>
      </c>
      <c r="E14" s="65" t="s">
        <v>77</v>
      </c>
      <c r="F14" s="65" t="s">
        <v>78</v>
      </c>
      <c r="G14" s="65" t="s">
        <v>79</v>
      </c>
    </row>
    <row r="15" spans="2:8" ht="21.75" customHeight="1" x14ac:dyDescent="0.3">
      <c r="B15" s="52" t="s">
        <v>80</v>
      </c>
      <c r="C15" s="52" t="s">
        <v>81</v>
      </c>
      <c r="D15" s="53" t="s">
        <v>51</v>
      </c>
      <c r="E15" s="54" t="s">
        <v>82</v>
      </c>
      <c r="F15" s="54" t="s">
        <v>83</v>
      </c>
      <c r="G15" s="54" t="s">
        <v>84</v>
      </c>
    </row>
    <row r="16" spans="2:8" ht="21.75" customHeight="1" x14ac:dyDescent="0.3">
      <c r="B16" s="55" t="s">
        <v>85</v>
      </c>
      <c r="C16" s="55" t="s">
        <v>86</v>
      </c>
      <c r="D16" s="56" t="s">
        <v>57</v>
      </c>
      <c r="E16" s="57" t="s">
        <v>87</v>
      </c>
      <c r="F16" s="57" t="s">
        <v>88</v>
      </c>
      <c r="G16" s="57" t="s">
        <v>89</v>
      </c>
      <c r="H16" s="66" t="s">
        <v>90</v>
      </c>
    </row>
    <row r="17" spans="2:7" ht="21.75" customHeight="1" x14ac:dyDescent="0.3">
      <c r="B17" s="59" t="s">
        <v>91</v>
      </c>
      <c r="C17" s="59" t="s">
        <v>92</v>
      </c>
      <c r="D17" s="60" t="s">
        <v>64</v>
      </c>
      <c r="E17" s="61" t="s">
        <v>93</v>
      </c>
      <c r="F17" s="61" t="s">
        <v>94</v>
      </c>
      <c r="G17" s="61" t="s">
        <v>95</v>
      </c>
    </row>
    <row r="18" spans="2:7" ht="21.75" customHeight="1" x14ac:dyDescent="0.3">
      <c r="B18" s="62" t="s">
        <v>96</v>
      </c>
      <c r="C18" s="62" t="s">
        <v>97</v>
      </c>
      <c r="D18" s="63" t="s">
        <v>70</v>
      </c>
      <c r="E18" s="64" t="s">
        <v>98</v>
      </c>
      <c r="F18" s="64" t="s">
        <v>99</v>
      </c>
      <c r="G18" s="64" t="s">
        <v>100</v>
      </c>
    </row>
    <row r="21" spans="2:7" ht="21.75" customHeight="1" x14ac:dyDescent="0.3">
      <c r="B21" s="7" t="s">
        <v>101</v>
      </c>
      <c r="C21" s="7"/>
      <c r="D21" s="7"/>
      <c r="E21" s="7"/>
      <c r="F21" s="7"/>
      <c r="G21" s="7"/>
    </row>
    <row r="22" spans="2:7" ht="39.75" customHeight="1" x14ac:dyDescent="0.3">
      <c r="B22" s="20"/>
      <c r="C22" s="20" t="s">
        <v>102</v>
      </c>
      <c r="D22" s="20" t="s">
        <v>103</v>
      </c>
      <c r="E22" s="20" t="s">
        <v>104</v>
      </c>
      <c r="F22" s="20" t="s">
        <v>105</v>
      </c>
    </row>
    <row r="23" spans="2:7" ht="39.75" customHeight="1" x14ac:dyDescent="0.3">
      <c r="B23" s="20" t="s">
        <v>106</v>
      </c>
      <c r="C23" s="67" t="s">
        <v>107</v>
      </c>
      <c r="D23" s="68" t="s">
        <v>108</v>
      </c>
      <c r="E23" s="69" t="s">
        <v>109</v>
      </c>
      <c r="F23" s="70" t="s">
        <v>110</v>
      </c>
    </row>
    <row r="24" spans="2:7" ht="39.75" customHeight="1" x14ac:dyDescent="0.3">
      <c r="B24" s="20" t="s">
        <v>111</v>
      </c>
      <c r="C24" s="68" t="s">
        <v>112</v>
      </c>
      <c r="D24" s="68" t="s">
        <v>113</v>
      </c>
      <c r="E24" s="69" t="s">
        <v>114</v>
      </c>
      <c r="F24" s="71" t="s">
        <v>115</v>
      </c>
    </row>
    <row r="25" spans="2:7" ht="39.75" customHeight="1" x14ac:dyDescent="0.3">
      <c r="B25" s="20" t="s">
        <v>116</v>
      </c>
      <c r="C25" s="69" t="s">
        <v>117</v>
      </c>
      <c r="D25" s="72" t="s">
        <v>118</v>
      </c>
      <c r="E25" s="71" t="s">
        <v>119</v>
      </c>
      <c r="F25" s="70" t="s">
        <v>110</v>
      </c>
    </row>
    <row r="26" spans="2:7" ht="39.75" customHeight="1" x14ac:dyDescent="0.3">
      <c r="B26" s="20" t="s">
        <v>120</v>
      </c>
      <c r="C26" s="71" t="s">
        <v>121</v>
      </c>
      <c r="D26" s="71" t="s">
        <v>122</v>
      </c>
      <c r="E26" s="70" t="s">
        <v>123</v>
      </c>
      <c r="F26" s="70" t="s">
        <v>124</v>
      </c>
    </row>
    <row r="27" spans="2:7" ht="39.75" customHeight="1" x14ac:dyDescent="0.3">
      <c r="B27" s="20" t="s">
        <v>125</v>
      </c>
      <c r="C27" s="70" t="s">
        <v>126</v>
      </c>
      <c r="D27" s="70" t="s">
        <v>127</v>
      </c>
      <c r="E27" s="70" t="s">
        <v>128</v>
      </c>
      <c r="F27" s="70" t="s">
        <v>129</v>
      </c>
    </row>
    <row r="29" spans="2:7" ht="14.25" customHeight="1" x14ac:dyDescent="0.3">
      <c r="B29" s="73" t="s">
        <v>130</v>
      </c>
    </row>
    <row r="30" spans="2:7" ht="14.25" customHeight="1" x14ac:dyDescent="0.3">
      <c r="B30" s="74" t="s">
        <v>131</v>
      </c>
      <c r="C30" s="74" t="s">
        <v>76</v>
      </c>
      <c r="D30" s="74" t="s">
        <v>39</v>
      </c>
      <c r="E30" s="74" t="s">
        <v>132</v>
      </c>
      <c r="F30" s="74" t="s">
        <v>78</v>
      </c>
    </row>
    <row r="31" spans="2:7" ht="28.8" customHeight="1" x14ac:dyDescent="0.3">
      <c r="B31" s="75" t="s">
        <v>133</v>
      </c>
      <c r="C31" s="75" t="s">
        <v>134</v>
      </c>
      <c r="D31" s="76" t="s">
        <v>135</v>
      </c>
      <c r="E31" s="76" t="s">
        <v>214</v>
      </c>
      <c r="F31" s="76" t="s">
        <v>136</v>
      </c>
    </row>
    <row r="32" spans="2:7" ht="24.75" customHeight="1" x14ac:dyDescent="0.3">
      <c r="B32" s="77" t="s">
        <v>137</v>
      </c>
      <c r="C32" s="77" t="s">
        <v>138</v>
      </c>
      <c r="D32" s="78" t="s">
        <v>57</v>
      </c>
      <c r="E32" s="78" t="s">
        <v>215</v>
      </c>
      <c r="F32" s="78" t="s">
        <v>139</v>
      </c>
    </row>
    <row r="33" spans="2:7" ht="31.2" customHeight="1" x14ac:dyDescent="0.3">
      <c r="B33" s="79" t="s">
        <v>140</v>
      </c>
      <c r="C33" s="79" t="s">
        <v>141</v>
      </c>
      <c r="D33" s="80" t="s">
        <v>142</v>
      </c>
      <c r="E33" s="80" t="s">
        <v>216</v>
      </c>
      <c r="F33" s="80" t="s">
        <v>58</v>
      </c>
    </row>
    <row r="34" spans="2:7" ht="29.4" customHeight="1" x14ac:dyDescent="0.3">
      <c r="B34" s="81" t="s">
        <v>143</v>
      </c>
      <c r="C34" s="81" t="s">
        <v>144</v>
      </c>
      <c r="D34" s="82" t="s">
        <v>70</v>
      </c>
      <c r="E34" s="82" t="s">
        <v>217</v>
      </c>
      <c r="F34" s="82" t="s">
        <v>145</v>
      </c>
    </row>
    <row r="36" spans="2:7" ht="19.5" customHeight="1" x14ac:dyDescent="0.3">
      <c r="B36" s="6" t="s">
        <v>146</v>
      </c>
      <c r="C36" s="6"/>
      <c r="D36" s="6"/>
      <c r="E36" s="6"/>
      <c r="F36" s="6"/>
      <c r="G36" s="6"/>
    </row>
    <row r="37" spans="2:7" ht="15.75" customHeight="1" x14ac:dyDescent="0.3">
      <c r="B37" s="23" t="s">
        <v>147</v>
      </c>
      <c r="C37" s="23" t="s">
        <v>148</v>
      </c>
      <c r="D37" s="23" t="s">
        <v>149</v>
      </c>
      <c r="E37" s="23" t="s">
        <v>150</v>
      </c>
      <c r="F37" s="23" t="s">
        <v>151</v>
      </c>
      <c r="G37" s="23"/>
    </row>
    <row r="38" spans="2:7" ht="27.75" customHeight="1" x14ac:dyDescent="0.3">
      <c r="B38" s="83" t="s">
        <v>152</v>
      </c>
      <c r="C38" s="84" t="s">
        <v>153</v>
      </c>
      <c r="D38" s="84" t="s">
        <v>154</v>
      </c>
      <c r="E38" s="84" t="s">
        <v>155</v>
      </c>
      <c r="F38" s="84" t="s">
        <v>156</v>
      </c>
      <c r="G38" s="84"/>
    </row>
    <row r="39" spans="2:7" ht="27.75" customHeight="1" x14ac:dyDescent="0.3">
      <c r="B39" s="85" t="s">
        <v>157</v>
      </c>
      <c r="C39" s="86" t="s">
        <v>158</v>
      </c>
      <c r="D39" s="86" t="s">
        <v>159</v>
      </c>
      <c r="E39" s="86" t="s">
        <v>160</v>
      </c>
      <c r="F39" s="86" t="s">
        <v>161</v>
      </c>
      <c r="G39" s="86"/>
    </row>
    <row r="40" spans="2:7" ht="27.75" customHeight="1" x14ac:dyDescent="0.3">
      <c r="B40" s="83" t="s">
        <v>162</v>
      </c>
      <c r="C40" s="84" t="s">
        <v>163</v>
      </c>
      <c r="D40" s="84" t="s">
        <v>164</v>
      </c>
      <c r="E40" s="84" t="s">
        <v>165</v>
      </c>
      <c r="F40" s="84" t="s">
        <v>166</v>
      </c>
      <c r="G40" s="84"/>
    </row>
    <row r="41" spans="2:7" ht="27.75" customHeight="1" x14ac:dyDescent="0.3">
      <c r="B41" s="85" t="s">
        <v>167</v>
      </c>
      <c r="C41" s="86" t="s">
        <v>168</v>
      </c>
      <c r="D41" s="86" t="s">
        <v>169</v>
      </c>
      <c r="E41" s="86" t="s">
        <v>170</v>
      </c>
      <c r="F41" s="86" t="s">
        <v>171</v>
      </c>
      <c r="G41" s="86"/>
    </row>
    <row r="42" spans="2:7" ht="27.75" customHeight="1" x14ac:dyDescent="0.3">
      <c r="B42" s="83" t="s">
        <v>172</v>
      </c>
      <c r="C42" s="84" t="s">
        <v>173</v>
      </c>
      <c r="D42" s="84" t="s">
        <v>174</v>
      </c>
      <c r="E42" s="84" t="s">
        <v>175</v>
      </c>
      <c r="F42" s="84" t="s">
        <v>136</v>
      </c>
      <c r="G42" s="84"/>
    </row>
    <row r="43" spans="2:7" ht="27.75" customHeight="1" x14ac:dyDescent="0.3">
      <c r="B43" s="87" t="s">
        <v>176</v>
      </c>
      <c r="C43" s="88" t="s">
        <v>177</v>
      </c>
      <c r="D43" s="88" t="s">
        <v>178</v>
      </c>
      <c r="E43" s="88" t="s">
        <v>179</v>
      </c>
      <c r="F43" s="88" t="s">
        <v>180</v>
      </c>
      <c r="G43" s="88"/>
    </row>
  </sheetData>
  <mergeCells count="6">
    <mergeCell ref="B36:G36"/>
    <mergeCell ref="B1:G1"/>
    <mergeCell ref="B2:G2"/>
    <mergeCell ref="B4:G4"/>
    <mergeCell ref="B13:G13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1C1C"/>
  </sheetPr>
  <dimension ref="B1:D43"/>
  <sheetViews>
    <sheetView showGridLines="0" tabSelected="1" topLeftCell="A30" zoomScaleNormal="100" workbookViewId="0">
      <selection activeCell="C18" sqref="C18"/>
    </sheetView>
  </sheetViews>
  <sheetFormatPr defaultColWidth="8.6640625" defaultRowHeight="14.4" x14ac:dyDescent="0.3"/>
  <cols>
    <col min="1" max="1" width="3" customWidth="1"/>
    <col min="2" max="2" width="56.5546875" customWidth="1"/>
    <col min="3" max="3" width="38.6640625" customWidth="1"/>
    <col min="4" max="4" width="28" customWidth="1"/>
    <col min="5" max="5" width="3" customWidth="1"/>
  </cols>
  <sheetData>
    <row r="1" spans="2:4" ht="27.75" customHeight="1" x14ac:dyDescent="0.3">
      <c r="B1" s="8" t="s">
        <v>181</v>
      </c>
      <c r="C1" s="8"/>
      <c r="D1" s="8"/>
    </row>
    <row r="2" spans="2:4" ht="18" customHeight="1" x14ac:dyDescent="0.3">
      <c r="B2" s="5" t="s">
        <v>182</v>
      </c>
      <c r="C2" s="5"/>
      <c r="D2" s="5"/>
    </row>
    <row r="4" spans="2:4" ht="24" customHeight="1" x14ac:dyDescent="0.3">
      <c r="B4" s="89" t="s">
        <v>183</v>
      </c>
      <c r="C4" s="4">
        <f>IFERROR(LOOKUP(2,1/('Daily History Log'!$B$5:$B$64&lt;&gt;""),'Daily History Log'!C$5:C$64),"—")</f>
        <v>19.29</v>
      </c>
      <c r="D4" s="4"/>
    </row>
    <row r="5" spans="2:4" ht="24" customHeight="1" x14ac:dyDescent="0.3">
      <c r="B5" s="90" t="s">
        <v>184</v>
      </c>
      <c r="C5" s="3">
        <f>IFERROR(LOOKUP(2,1/('Daily History Log'!$B$5:$B$64&lt;&gt;""),'Daily History Log'!L$5:L$64),"—")</f>
        <v>72.150000000000006</v>
      </c>
      <c r="D5" s="3"/>
    </row>
    <row r="6" spans="2:4" ht="24" customHeight="1" x14ac:dyDescent="0.3">
      <c r="B6" s="89" t="s">
        <v>185</v>
      </c>
      <c r="C6" s="2">
        <f>IFERROR(LOOKUP(2,1/('Daily History Log'!$B$5:$B$64&lt;&gt;""),'Daily History Log'!M$5:M$64),"—")</f>
        <v>-1.8599999999999994</v>
      </c>
      <c r="D6" s="2"/>
    </row>
    <row r="7" spans="2:4" ht="24" customHeight="1" x14ac:dyDescent="0.3">
      <c r="B7" s="90" t="s">
        <v>186</v>
      </c>
      <c r="C7" s="1">
        <f>IFERROR(LOOKUP(2,1/('Daily History Log'!$B$5:$B$64&lt;&gt;""),'Daily History Log'!N$5:N$64),"—")</f>
        <v>-2.5131738954195369E-2</v>
      </c>
      <c r="D7" s="1"/>
    </row>
    <row r="8" spans="2:4" ht="24" customHeight="1" x14ac:dyDescent="0.3">
      <c r="B8" s="89" t="s">
        <v>187</v>
      </c>
      <c r="C8" s="110" t="str">
        <f>IFERROR(LOOKUP(2,1/('Daily History Log'!$B$5:$B$64&lt;&gt;""),'Daily History Log'!T$5:T$64),"—")</f>
        <v>NORMAL</v>
      </c>
      <c r="D8" s="110"/>
    </row>
    <row r="9" spans="2:4" ht="24" customHeight="1" x14ac:dyDescent="0.3">
      <c r="B9" s="90" t="s">
        <v>188</v>
      </c>
      <c r="C9" s="111" t="str">
        <f>IFERROR(LOOKUP(2,1/('Daily History Log'!$B$5:$B$64&lt;&gt;""),'Daily History Log'!U$5:U$64),"—")</f>
        <v>NORMAL</v>
      </c>
      <c r="D9" s="111"/>
    </row>
    <row r="10" spans="2:4" ht="24" customHeight="1" x14ac:dyDescent="0.3">
      <c r="B10" s="89" t="s">
        <v>189</v>
      </c>
      <c r="C10" s="112">
        <f>IFERROR(LOOKUP(2,1/('Daily History Log'!$B$5:$B$64&lt;&gt;""),'Daily History Log'!P$5:P$64),"—")</f>
        <v>13.6</v>
      </c>
      <c r="D10" s="112"/>
    </row>
    <row r="11" spans="2:4" ht="24" customHeight="1" x14ac:dyDescent="0.3">
      <c r="B11" s="89" t="s">
        <v>190</v>
      </c>
      <c r="C11" s="112">
        <f>IFERROR(LOOKUP(2,1/('Daily History Log'!$B$5:$B$64&lt;&gt;""),'Daily History Log'!Q$5:Q$64),"—")</f>
        <v>-0.65000000000000036</v>
      </c>
      <c r="D11" s="112"/>
    </row>
    <row r="12" spans="2:4" ht="24" customHeight="1" x14ac:dyDescent="0.3">
      <c r="B12" s="89" t="s">
        <v>191</v>
      </c>
      <c r="C12" s="112" t="str">
        <f>IFERROR(LOOKUP(2,1/('Daily History Log'!$B$5:$B$64&lt;&gt;""),'Daily History Log'!S$5:S$64),"—")</f>
        <v>CALM</v>
      </c>
      <c r="D12" s="112"/>
    </row>
    <row r="13" spans="2:4" ht="24" customHeight="1" x14ac:dyDescent="0.3">
      <c r="B13" s="89" t="s">
        <v>192</v>
      </c>
      <c r="C13" s="110" t="str">
        <f>IFERROR(LOOKUP(2,1/('Daily History Log'!$B$5:$B$64&lt;&gt;""),'Daily History Log'!V$5:V$64),"—")</f>
        <v>STANDARD OPS</v>
      </c>
      <c r="D13" s="110"/>
    </row>
    <row r="14" spans="2:4" ht="24" customHeight="1" x14ac:dyDescent="0.3">
      <c r="B14" s="90" t="s">
        <v>193</v>
      </c>
      <c r="C14" s="111" t="str">
        <f>IFERROR(LOOKUP(2,1/('Daily History Log'!$B$5:$B$64&lt;&gt;""),'Daily History Log'!W$5:W$64),"—")</f>
        <v>MONITOR</v>
      </c>
      <c r="D14" s="111"/>
    </row>
    <row r="15" spans="2:4" ht="24" customHeight="1" x14ac:dyDescent="0.3">
      <c r="B15" s="89" t="s">
        <v>194</v>
      </c>
      <c r="C15" s="2">
        <f>IFERROR(LOOKUP(2,1/('Daily History Log'!$B$5:$B$64&lt;&gt;""),'Daily History Log'!I$5:I$64),"—")</f>
        <v>-1.0700000000000003</v>
      </c>
      <c r="D15" s="2"/>
    </row>
    <row r="16" spans="2:4" ht="24" customHeight="1" x14ac:dyDescent="0.3">
      <c r="B16" s="90" t="s">
        <v>195</v>
      </c>
      <c r="C16" s="113">
        <f>IFERROR(LOOKUP(2,1/('Daily History Log'!$B$5:$B$64&lt;&gt;""),'Daily History Log'!J$5:J$64),"—")</f>
        <v>-2.1799999999999997</v>
      </c>
      <c r="D16" s="113"/>
    </row>
    <row r="17" spans="2:4" ht="14.25" customHeight="1" x14ac:dyDescent="0.3">
      <c r="B17" s="89" t="s">
        <v>196</v>
      </c>
      <c r="C17" s="91" t="str">
        <f>IFERROR(IF(LOOKUP(2,1/(('Daily History Log'!C5:C64&lt;&gt;""))*1,'Daily History Log'!C5:C64)&gt;25,"Strong — "&amp;TEXT(LOOKUP(2,1/(('Daily History Log'!C5:C64&lt;&gt;""))*1,'Daily History Log'!C5:C64)-17,"0.0")&amp;" pts above mean","Moderate"),"—")</f>
        <v>Moderate</v>
      </c>
      <c r="D17" s="17"/>
    </row>
    <row r="18" spans="2:4" ht="14.25" customHeight="1" x14ac:dyDescent="0.3">
      <c r="B18" s="90" t="s">
        <v>197</v>
      </c>
      <c r="C18" s="92" t="str">
        <f>IF(C31=6,"🟢 ACTIVATE — Re-enter at 25% size",IF(C31&gt;=5,"🟡 APPROACHING — Monitor daily, prepare watchlist",IF(OR(C13="STANDARD OPS",C13="MONITOR"),"🟡 MONITOR — Conditions improving","🔴 STAY DEFENSIVE — Await gate clearance")))</f>
        <v>🟢 ACTIVATE — Re-enter at 25% size</v>
      </c>
      <c r="D18" s="17"/>
    </row>
    <row r="19" spans="2:4" ht="14.25" customHeight="1" x14ac:dyDescent="0.3">
      <c r="B19" s="114" t="s">
        <v>198</v>
      </c>
      <c r="C19" s="114"/>
      <c r="D19" s="114"/>
    </row>
    <row r="22" spans="2:4" ht="14.25" customHeight="1" x14ac:dyDescent="0.3">
      <c r="B22" s="93" t="s">
        <v>199</v>
      </c>
      <c r="C22" s="94"/>
      <c r="D22" s="95"/>
    </row>
    <row r="24" spans="2:4" ht="19.5" customHeight="1" x14ac:dyDescent="0.3">
      <c r="B24" s="6" t="s">
        <v>200</v>
      </c>
      <c r="C24" s="6"/>
      <c r="D24" s="6"/>
    </row>
    <row r="25" spans="2:4" ht="15.75" customHeight="1" x14ac:dyDescent="0.3">
      <c r="B25" s="96" t="s">
        <v>152</v>
      </c>
      <c r="C25" s="97">
        <f>IFERROR(LOOKUP(2,1/('Daily History Log'!$B$5:$B$64&lt;&gt;""),'Daily History Log'!C$5:C$64),"—")</f>
        <v>19.29</v>
      </c>
      <c r="D25" s="98" t="str">
        <f>IF(C25="—","—",IF(C25&lt;25,"✅ PASS — "&amp;TEXT(C25,"0.00"),"❌ FAIL — "&amp;TEXT(C25,"0.00")))</f>
        <v>✅ PASS — 19.29</v>
      </c>
    </row>
    <row r="26" spans="2:4" ht="15.75" customHeight="1" x14ac:dyDescent="0.3">
      <c r="B26" s="96" t="s">
        <v>157</v>
      </c>
      <c r="C26" s="97">
        <f>IFERROR(LOOKUP(2,1/('Daily History Log'!$B$5:$B$64&lt;&gt;""),'Daily History Log'!L$5:L$64),"—")</f>
        <v>72.150000000000006</v>
      </c>
      <c r="D26" s="98" t="str">
        <f>IF(C26="—","—",IF(C26&lt;95,"✅ PASS — "&amp;TEXT(C26,"0.00"),"❌ FAIL — "&amp;TEXT(C26,"0.00")))</f>
        <v>✅ PASS — 72.15</v>
      </c>
    </row>
    <row r="27" spans="2:4" ht="15.75" customHeight="1" x14ac:dyDescent="0.3">
      <c r="B27" s="96" t="s">
        <v>162</v>
      </c>
      <c r="C27" s="97">
        <f>IFERROR(LOOKUP(2,1/('Daily History Log'!$B$5:$B$64&lt;&gt;""),'Daily History Log'!P$5:P$64),"—")</f>
        <v>13.6</v>
      </c>
      <c r="D27" s="98" t="str">
        <f>IF(C27="—","—",IF(C27&lt;30,"✅ PASS — "&amp;TEXT(C27,"0.00"),"❌ FAIL — "&amp;TEXT(C27,"0.00")))</f>
        <v>✅ PASS — 13.60</v>
      </c>
    </row>
    <row r="28" spans="2:4" ht="15.75" customHeight="1" x14ac:dyDescent="0.3">
      <c r="B28" s="96" t="s">
        <v>201</v>
      </c>
      <c r="C28" s="97">
        <f>IFERROR(LOOKUP(2,1/('Daily History Log'!$B$5:$B$64&lt;&gt;""),'Daily History Log'!Y$5:Y$64),"—")</f>
        <v>3</v>
      </c>
      <c r="D28" s="98" t="str">
        <f>IF(OR(C28="—",C28="-",C28=""),"—",IF(C28&gt;=3,"✅ PASS — "&amp;TEXT(C28,"0")&amp;" days","❌ FAIL — "&amp;TEXT(C28,"0")&amp;" days"))</f>
        <v>✅ PASS — 3 days</v>
      </c>
    </row>
    <row r="29" spans="2:4" ht="15.75" customHeight="1" x14ac:dyDescent="0.3">
      <c r="B29" s="96" t="s">
        <v>202</v>
      </c>
      <c r="C29" s="97">
        <f>IFERROR(LOOKUP(2,1/('Daily History Log'!$B$5:$B$64&lt;&gt;""),'Daily History Log'!I$5:I$64),"—")</f>
        <v>-1.0700000000000003</v>
      </c>
      <c r="D29" s="98" t="str">
        <f>IF(OR(C29="—",C29="-",C29=""),"—",IF(C29&lt;0,"✅ PASS (Contango)","❌ FAIL (Backwardation)"))</f>
        <v>✅ PASS (Contango)</v>
      </c>
    </row>
    <row r="30" spans="2:4" ht="19.5" customHeight="1" x14ac:dyDescent="0.3">
      <c r="B30" s="99" t="s">
        <v>203</v>
      </c>
      <c r="C30" s="100" t="str">
        <f>IFERROR(LOOKUP(2,1/('Daily History Log'!$B$5:$B$64&lt;&gt;""),'Daily History Log'!Z$5:Z$64),"—")</f>
        <v>🟢 REVERSION WATCH</v>
      </c>
      <c r="D30" s="99" t="str">
        <f>IF(OR(C35="—",C35="",C38="—",C38=""),"— awaiting data",IF(AND(C35&gt;=25,C38&gt;0),"✅ PASS — breadth clear","❌ FAIL — breadth blocked"))</f>
        <v>✅ PASS — breadth clear</v>
      </c>
    </row>
    <row r="31" spans="2:4" ht="31.5" customHeight="1" x14ac:dyDescent="0.3">
      <c r="B31" s="101" t="s">
        <v>204</v>
      </c>
      <c r="C31" s="102">
        <f>SUMPRODUCT(((IFERROR(SEARCH("✅",D25),0)&gt;0)*1+(IFERROR(SEARCH("✅",D26),0)&gt;0)*1+(IFERROR(SEARCH("✅",D27),0)&gt;0)*1+(IFERROR(SEARCH("✅",D28),0)&gt;0)*1+(IFERROR(SEARCH("✅",D29),0)&gt;0)*1+(IFERROR(SEARCH("✅",D30),0)&gt;0)*1))</f>
        <v>6</v>
      </c>
      <c r="D31" s="103" t="str">
        <f>IF(C31=6,"🟢 REVERSION WATCH — BEGIN PIVOT",IF(C31&gt;=4,"🟡 APPROACHING — MONITOR DAILY","🔴 NOT YET — STAY DEFENSIVE"))</f>
        <v>🟢 REVERSION WATCH — BEGIN PIVOT</v>
      </c>
    </row>
    <row r="32" spans="2:4" ht="53.25" customHeight="1" x14ac:dyDescent="0.3">
      <c r="B32" s="104" t="s">
        <v>205</v>
      </c>
      <c r="C32" s="105"/>
      <c r="D32" s="106"/>
    </row>
    <row r="33" spans="2:4" ht="14.25" customHeight="1" x14ac:dyDescent="0.3"/>
    <row r="34" spans="2:4" ht="14.25" customHeight="1" x14ac:dyDescent="0.3">
      <c r="B34" s="107" t="s">
        <v>206</v>
      </c>
    </row>
    <row r="35" spans="2:4" ht="14.25" customHeight="1" x14ac:dyDescent="0.3">
      <c r="B35" s="99" t="s">
        <v>207</v>
      </c>
      <c r="C35" s="108">
        <f>IFERROR(LOOKUP(2,1/('Daily History Log'!$B$5:$B$64&lt;&gt;""),'Daily History Log'!AA$5:AA$64),"—")</f>
        <v>43</v>
      </c>
    </row>
    <row r="36" spans="2:4" ht="14.25" customHeight="1" x14ac:dyDescent="0.3">
      <c r="B36" s="99" t="s">
        <v>208</v>
      </c>
      <c r="C36" s="103" t="str">
        <f>IF(C35="","—",IF(C35&gt;=50,"✅ RECOVERING — breadth broad-based",IF(C35&gt;=25,"🟡 FRAGILE — narrow leadership","🔴 BROKEN — participation collapsed")))</f>
        <v>🟡 FRAGILE — narrow leadership</v>
      </c>
      <c r="D36" t="str">
        <f>IF(C35="","— enter reading","")</f>
        <v/>
      </c>
    </row>
    <row r="37" spans="2:4" ht="14.25" customHeight="1" x14ac:dyDescent="0.3">
      <c r="B37" s="99" t="s">
        <v>209</v>
      </c>
      <c r="C37" s="103" t="str">
        <f>IF(C35="","—",IF(C35&gt;=25,"🟢 BREADTH GATE CLEAR","🔴 BREADTH GATE BLOCKED"))</f>
        <v>🟢 BREADTH GATE CLEAR</v>
      </c>
    </row>
    <row r="38" spans="2:4" ht="14.25" customHeight="1" x14ac:dyDescent="0.3">
      <c r="B38" s="99" t="s">
        <v>210</v>
      </c>
      <c r="C38" s="108">
        <f>IFERROR(LOOKUP(2,1/('Daily History Log'!$B$5:$B$64&lt;&gt;""),'Daily History Log'!AB$5:AB$64),"—")</f>
        <v>132</v>
      </c>
    </row>
    <row r="39" spans="2:4" ht="14.25" customHeight="1" x14ac:dyDescent="0.3">
      <c r="B39" s="99" t="s">
        <v>211</v>
      </c>
      <c r="C39" s="103" t="str">
        <f>IF(C38="","—",IF(C38&gt;50,"✅ STRONG — selling pressure exhausted",IF(C38&gt;0,"🟡 NEUTRAL — breadth turning",IF(C38&gt;-100,"🔴 NEGATIVE — selling ongoing","🚨 DEEP NEGATIVE — capitulation zone"))))</f>
        <v>✅ STRONG — selling pressure exhausted</v>
      </c>
    </row>
    <row r="40" spans="2:4" ht="14.25" customHeight="1" x14ac:dyDescent="0.3"/>
    <row r="41" spans="2:4" ht="14.25" customHeight="1" x14ac:dyDescent="0.3">
      <c r="B41" s="103" t="s">
        <v>212</v>
      </c>
      <c r="C41" s="103" t="str">
        <f>IF(OR(C35="",C38=""),"— awaiting inputs",IF(AND(C35&gt;=25,C38&gt;0),"🟢 BOTH CLEAR — regime transition possible","🔴 BLOCKED — maintain defensive posture"))</f>
        <v>🟢 BOTH CLEAR — regime transition possible</v>
      </c>
    </row>
    <row r="42" spans="2:4" ht="14.25" customHeight="1" x14ac:dyDescent="0.3"/>
    <row r="43" spans="2:4" ht="14.25" customHeight="1" x14ac:dyDescent="0.3">
      <c r="B43" s="109" t="s">
        <v>213</v>
      </c>
    </row>
  </sheetData>
  <mergeCells count="17">
    <mergeCell ref="B19:D19"/>
    <mergeCell ref="B24:D24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B1:D1"/>
    <mergeCell ref="B2:D2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History Log</vt:lpstr>
      <vt:lpstr>Regime Reference</vt:lpstr>
      <vt:lpstr>Current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Mattheisen</cp:lastModifiedBy>
  <cp:revision>0</cp:revision>
  <dcterms:created xsi:type="dcterms:W3CDTF">2026-03-13T12:45:23Z</dcterms:created>
  <dcterms:modified xsi:type="dcterms:W3CDTF">2026-04-10T21:03:49Z</dcterms:modified>
  <dc:language>en-US</dc:language>
</cp:coreProperties>
</file>